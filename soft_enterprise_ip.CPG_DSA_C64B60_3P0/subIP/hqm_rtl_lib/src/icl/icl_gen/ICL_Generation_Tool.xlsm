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sId5" Type="http://schemas.microsoft.com/office/2007/relationships/ui/extensibility" Target="customUI/my_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avisha\Desktop\icl_gen\"/>
    </mc:Choice>
  </mc:AlternateContent>
  <xr:revisionPtr revIDLastSave="0" documentId="13_ncr:1_{5FE08D26-A6BC-4321-9BAD-2F601FF76BD5}" xr6:coauthVersionLast="44" xr6:coauthVersionMax="44" xr10:uidLastSave="{00000000-0000-0000-0000-000000000000}"/>
  <bookViews>
    <workbookView xWindow="-108" yWindow="-108" windowWidth="23256" windowHeight="12576" firstSheet="1" activeTab="1" xr2:uid="{013F9049-A21F-4D1A-8148-9417AD0A5D79}"/>
  </bookViews>
  <sheets>
    <sheet name="range" sheetId="4" state="hidden" r:id="rId1"/>
    <sheet name="Parameters" sheetId="25" r:id="rId2"/>
    <sheet name="Format" sheetId="3" state="hidden" r:id="rId3"/>
    <sheet name="LookupList" sheetId="30" state="hidden" r:id="rId4"/>
    <sheet name="Registers" sheetId="31" r:id="rId5"/>
    <sheet name="Chains" sheetId="32" r:id="rId6"/>
    <sheet name="TAPs" sheetId="33" r:id="rId7"/>
    <sheet name="Tops" sheetId="34" r:id="rId8"/>
  </sheets>
  <externalReferences>
    <externalReference r:id="rId9"/>
  </externalReferences>
  <definedNames>
    <definedName name="indexChains">LookupList!$C$1:INDEX(LookupList!$C$1:$C$3000,SUMPRODUCT(--(LookupList!$C$1:$C$3000&lt;&gt;"")))</definedName>
    <definedName name="indexReg">LookupList!$A$1:INDEX(LookupList!$A$1:$A$3000,SUMPRODUCT(--(LookupList!$A$1:$A$3000&lt;&gt;"")))</definedName>
    <definedName name="indexRegChain">LookupList!$D$1:INDEX(LookupList!$D$1:$D$3000,SUMPRODUCT(--(LookupList!$D$1:$D$3000&lt;&gt;"")))</definedName>
    <definedName name="indexRegChains">LookupList!$D$2:INDEX(LookupList!$D$2:$D$3000,SUMPRODUCT(--(LookupList!$D$2:$D$3000&lt;&gt;"")))</definedName>
    <definedName name="indexTap">LookupList!$B$1:INDEX(LookupList!$B$1:$B$3000,SUMPRODUCT(--(LookupList!$B$1:$B$3000&lt;&gt;"")))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34" l="1"/>
  <c r="D1" i="33"/>
  <c r="D1" i="32"/>
  <c r="E30" i="31"/>
  <c r="E29" i="31"/>
  <c r="E15" i="31"/>
  <c r="C27" i="31"/>
  <c r="D1" i="31"/>
  <c r="C13" i="31"/>
  <c r="C11" i="3" l="1"/>
  <c r="D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Venger, Oleg V</author>
  </authors>
  <commentList>
    <comment ref="A6" authorId="0" shapeId="0" xr:uid="{89CCDDCC-90B3-4AAC-8F03-192551651DC3}">
      <text>
        <r>
          <rPr>
            <sz val="9"/>
            <color indexed="81"/>
            <rFont val="Tahoma"/>
            <family val="2"/>
            <charset val="204"/>
          </rPr>
          <t>TDR module name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Venger, Oleg V</author>
  </authors>
  <commentList>
    <comment ref="A8" authorId="0" shapeId="0" xr:uid="{64E5DED5-4DAC-4B3D-922F-34EA0AB0022B}">
      <text>
        <r>
          <rPr>
            <sz val="9"/>
            <color indexed="81"/>
            <rFont val="Tahoma"/>
            <family val="2"/>
            <charset val="204"/>
          </rPr>
          <t>TDR module name</t>
        </r>
      </text>
    </comment>
    <comment ref="A22" authorId="0" shapeId="0" xr:uid="{F79347CB-7682-4570-B87F-8DBF8145C1E4}">
      <text>
        <r>
          <rPr>
            <sz val="9"/>
            <color indexed="81"/>
            <rFont val="Tahoma"/>
            <family val="2"/>
            <charset val="204"/>
          </rPr>
          <t>TDR module name</t>
        </r>
      </text>
    </comment>
  </commentList>
</comments>
</file>

<file path=xl/sharedStrings.xml><?xml version="1.0" encoding="utf-8"?>
<sst xmlns="http://schemas.openxmlformats.org/spreadsheetml/2006/main" count="296" uniqueCount="105">
  <si>
    <t>Security</t>
  </si>
  <si>
    <t>Parameter</t>
  </si>
  <si>
    <t>Value</t>
  </si>
  <si>
    <t>Description</t>
  </si>
  <si>
    <t>IR reset value</t>
  </si>
  <si>
    <t>IR capture value</t>
  </si>
  <si>
    <t>TAP Security</t>
  </si>
  <si>
    <t>Opcode Value</t>
  </si>
  <si>
    <t>Definition</t>
  </si>
  <si>
    <t>TDR Definition</t>
  </si>
  <si>
    <t>TDR Name</t>
  </si>
  <si>
    <t>PWRGOOD ,TRST ,TLR</t>
  </si>
  <si>
    <t>Access</t>
  </si>
  <si>
    <t>Back to table of contents</t>
  </si>
  <si>
    <t>PWRGOOD</t>
  </si>
  <si>
    <t>Range</t>
  </si>
  <si>
    <t>Capture Source</t>
  </si>
  <si>
    <t>Primary Output</t>
  </si>
  <si>
    <t>Reset Type 1</t>
  </si>
  <si>
    <t>Reset Type 2</t>
  </si>
  <si>
    <t>Reset Type 3</t>
  </si>
  <si>
    <t>Register</t>
  </si>
  <si>
    <t>Reset Value</t>
  </si>
  <si>
    <t>Size</t>
  </si>
  <si>
    <t>Field Name</t>
  </si>
  <si>
    <t>Field Width</t>
  </si>
  <si>
    <t>Opcode Name</t>
  </si>
  <si>
    <t>RTL Path</t>
  </si>
  <si>
    <t>IR Size</t>
  </si>
  <si>
    <t>Tap Type</t>
  </si>
  <si>
    <t>(TAP definition Name)</t>
  </si>
  <si>
    <t>Radix</t>
  </si>
  <si>
    <t>si(MSB)</t>
  </si>
  <si>
    <t>so(LSB)</t>
  </si>
  <si>
    <t>Level 0</t>
  </si>
  <si>
    <t>Type 0</t>
  </si>
  <si>
    <t>Level 1</t>
  </si>
  <si>
    <t>Type 1</t>
  </si>
  <si>
    <t>Level 2</t>
  </si>
  <si>
    <t>Type 2</t>
  </si>
  <si>
    <t>Level 3</t>
  </si>
  <si>
    <t>Type 3</t>
  </si>
  <si>
    <t>(Chain)</t>
  </si>
  <si>
    <t>TAP Instances &amp; Ports</t>
  </si>
  <si>
    <t>Instance</t>
  </si>
  <si>
    <t>Defintion</t>
  </si>
  <si>
    <t>TDI</t>
  </si>
  <si>
    <t>TDO</t>
  </si>
  <si>
    <t>TMS</t>
  </si>
  <si>
    <t>TRSTb</t>
  </si>
  <si>
    <t>TCLK</t>
  </si>
  <si>
    <t>IJTAG/RTDR Instances &amp; Ports</t>
  </si>
  <si>
    <t>Other Control Ports</t>
  </si>
  <si>
    <t>Type</t>
  </si>
  <si>
    <t>Name</t>
  </si>
  <si>
    <t>Width</t>
  </si>
  <si>
    <t>Intel Type</t>
  </si>
  <si>
    <t>Receiver</t>
  </si>
  <si>
    <t>Properties</t>
  </si>
  <si>
    <t>Attributes</t>
  </si>
  <si>
    <t>Input Data Ports</t>
  </si>
  <si>
    <t>Reset value</t>
  </si>
  <si>
    <t>Input for TDR.Field</t>
  </si>
  <si>
    <t>(autogenerated)</t>
  </si>
  <si>
    <t>Output Data Ports</t>
  </si>
  <si>
    <t>Output of TDR.Field</t>
  </si>
  <si>
    <t>Architectural</t>
  </si>
  <si>
    <t>Supported TAP networks</t>
  </si>
  <si>
    <t>Hierarchical</t>
  </si>
  <si>
    <t>IJTAG SIB type</t>
  </si>
  <si>
    <t>Standard vs. SIB with TDO repeater</t>
  </si>
  <si>
    <t>Generation</t>
  </si>
  <si>
    <t>Uniquificatin prefix</t>
  </si>
  <si>
    <t>Uniquificatin suffix</t>
  </si>
  <si>
    <t>ICL output</t>
  </si>
  <si>
    <t>Yes</t>
  </si>
  <si>
    <t>RDL output</t>
  </si>
  <si>
    <t>No</t>
  </si>
  <si>
    <t>sib_with_rpt</t>
  </si>
  <si>
    <t>RW</t>
  </si>
  <si>
    <t>SLVIDCODE</t>
  </si>
  <si>
    <t>Hex</t>
  </si>
  <si>
    <t>TDR_DEF</t>
  </si>
  <si>
    <t>GREEN</t>
  </si>
  <si>
    <t>slvidcode</t>
  </si>
  <si>
    <t>[31:0]</t>
  </si>
  <si>
    <t>4h'A</t>
  </si>
  <si>
    <t>tdr_def_1</t>
  </si>
  <si>
    <t>tdr_def_2</t>
  </si>
  <si>
    <t>RW/V</t>
  </si>
  <si>
    <t>Bin</t>
  </si>
  <si>
    <t>[0:0]</t>
  </si>
  <si>
    <t>[7:1]</t>
  </si>
  <si>
    <t>8h'C0</t>
  </si>
  <si>
    <t>sl1</t>
  </si>
  <si>
    <t>tdr1</t>
  </si>
  <si>
    <t>sb1</t>
  </si>
  <si>
    <t>sb</t>
  </si>
  <si>
    <t>sb2</t>
  </si>
  <si>
    <t>sl2</t>
  </si>
  <si>
    <t>tdr2</t>
  </si>
  <si>
    <t>ijtag_chain</t>
  </si>
  <si>
    <t>new_chain</t>
  </si>
  <si>
    <t>STAP</t>
  </si>
  <si>
    <t>dfx_agg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</si>
</sst>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26"/>
      <color theme="1"/>
      <name val="Calibri"/>
      <family val="2"/>
      <scheme val="minor"/>
    </font>
    <font>
      <b/>
      <i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4" tint="0.3999755851924192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8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3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Alignment="1">
      <alignment vertical="center"/>
    </xf>
    <xf numFmtId="0" fontId="0" fillId="0" borderId="4" xfId="0" applyBorder="1"/>
    <xf numFmtId="49" fontId="0" fillId="4" borderId="4" xfId="0" applyNumberFormat="1" applyFill="1" applyBorder="1"/>
    <xf numFmtId="0" fontId="0" fillId="4" borderId="4" xfId="0" applyFill="1" applyBorder="1"/>
    <xf numFmtId="49" fontId="0" fillId="0" borderId="0" xfId="0" applyNumberFormat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49" fontId="0" fillId="0" borderId="7" xfId="0" applyNumberFormat="1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49" fontId="0" fillId="0" borderId="5" xfId="0" applyNumberForma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4" xfId="0" applyBorder="1" applyProtection="1">
      <protection locked="0"/>
    </xf>
    <xf numFmtId="0" fontId="6" fillId="0" borderId="0" xfId="1" applyProtection="1">
      <protection locked="0"/>
    </xf>
    <xf numFmtId="0" fontId="0" fillId="5" borderId="6" xfId="0" applyFont="1" applyFill="1" applyBorder="1" applyProtection="1">
      <protection locked="0"/>
    </xf>
    <xf numFmtId="49" fontId="0" fillId="0" borderId="0" xfId="0" applyNumberFormat="1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0" fillId="0" borderId="0" xfId="0" applyFill="1" applyBorder="1" applyAlignment="1"/>
    <xf numFmtId="0" fontId="0" fillId="0" borderId="4" xfId="0" applyFill="1" applyBorder="1" applyAlignment="1"/>
    <xf numFmtId="0" fontId="0" fillId="0" borderId="0" xfId="0" applyFill="1" applyAlignment="1"/>
    <xf numFmtId="0" fontId="0" fillId="0" borderId="0" xfId="0" applyFill="1" applyBorder="1" applyAlignment="1">
      <alignment wrapText="1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7" fillId="0" borderId="0" xfId="0" applyFont="1"/>
    <xf numFmtId="0" fontId="7" fillId="3" borderId="0" xfId="0" applyFont="1" applyFill="1"/>
    <xf numFmtId="0" fontId="0" fillId="0" borderId="9" xfId="0" applyBorder="1" applyAlignment="1" applyProtection="1">
      <alignment horizontal="left"/>
      <protection locked="0"/>
    </xf>
    <xf numFmtId="49" fontId="0" fillId="0" borderId="10" xfId="0" applyNumberFormat="1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5" borderId="6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8" borderId="4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4" fillId="0" borderId="0" xfId="0" applyFont="1"/>
    <xf numFmtId="0" fontId="0" fillId="0" borderId="11" xfId="0" applyFill="1" applyBorder="1" applyAlignment="1">
      <alignment wrapText="1"/>
    </xf>
    <xf numFmtId="0" fontId="0" fillId="0" borderId="11" xfId="0" applyFill="1" applyBorder="1" applyAlignment="1"/>
    <xf numFmtId="0" fontId="0" fillId="8" borderId="11" xfId="0" applyFill="1" applyBorder="1" applyAlignment="1"/>
    <xf numFmtId="0" fontId="0" fillId="0" borderId="11" xfId="0" applyFill="1" applyBorder="1" applyAlignment="1" applyProtection="1">
      <protection locked="0"/>
    </xf>
    <xf numFmtId="0" fontId="0" fillId="0" borderId="11" xfId="0" applyFill="1" applyBorder="1" applyAlignment="1" applyProtection="1">
      <alignment wrapText="1"/>
      <protection locked="0"/>
    </xf>
  </cellXfs>
  <cellStyles count="2">
    <cellStyle name="Hyperlink" xfId="1" builtinId="8"/>
    <cellStyle name="Normal" xfId="0" builtinId="0"/>
  </cellStyles>
  <dxfs count="306"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solid">
          <fgColor indexed="64"/>
          <bgColor theme="0" tint="-0.249977111117893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solid">
          <fgColor indexed="64"/>
          <bgColor theme="0" tint="-0.249977111117893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solid">
          <fgColor indexed="64"/>
          <bgColor theme="0" tint="-0.249977111117893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ckup/ICL_Generation_Tool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ge"/>
      <sheetName val="Parameters"/>
      <sheetName val="Format"/>
      <sheetName val="LookupList"/>
      <sheetName val="TAPs"/>
      <sheetName val="Chains"/>
      <sheetName val="Tops"/>
      <sheetName val="Regist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BB6AE02-68AC-4BDD-A14C-5F0CF552FCC8}" name="Table2421028613" displayName="Table2421028613" ref="J19:S20" totalsRowShown="0" headerRowDxfId="305" dataDxfId="304" headerRowCellStyle="Normal" dataCellStyle="Normal">
  <autoFilter ref="J19:S20" xr:uid="{62D95AB1-5728-42C6-8E6E-70A6B639731A}"/>
  <tableColumns count="10">
    <tableColumn id="1" xr3:uid="{5030F5FE-3304-4F51-ABB8-8FD70F5A2637}" name="Instance" dataDxfId="303" totalsRowDxfId="302" dataCellStyle="Normal"/>
    <tableColumn id="2" xr3:uid="{B74B1AB5-DEF9-4615-B93F-A681F0FE5393}" name="Defintion" dataDxfId="301" totalsRowDxfId="300" dataCellStyle="Normal"/>
    <tableColumn id="3" xr3:uid="{AAF73609-D5C0-4090-BDC2-1497C95811A2}" name="Security" dataDxfId="299" totalsRowDxfId="298" dataCellStyle="Normal"/>
    <tableColumn id="4" xr3:uid="{7286DAA2-C9A4-4689-9722-2835E69AC8D1}" name="Access" dataDxfId="297" totalsRowDxfId="296" dataCellStyle="Normal"/>
    <tableColumn id="5" xr3:uid="{9B1C0E5A-B9D5-4ACC-9A8C-803096DC5D22}" name="TDI" dataDxfId="295" totalsRowDxfId="294" dataCellStyle="Normal"/>
    <tableColumn id="6" xr3:uid="{5BB7BCBF-D22B-4CF9-AC33-2C5E3C40A5BA}" name="TDO" dataDxfId="293" totalsRowDxfId="292" dataCellStyle="Normal"/>
    <tableColumn id="7" xr3:uid="{31BA196E-A04F-4364-9F8E-3E01F32E61B7}" name="TMS" dataDxfId="291" totalsRowDxfId="290" dataCellStyle="Normal"/>
    <tableColumn id="8" xr3:uid="{4A62945A-440C-4380-A7AD-90384E71DE2D}" name="TRSTb" dataDxfId="289" totalsRowDxfId="288" dataCellStyle="Normal"/>
    <tableColumn id="9" xr3:uid="{FF0D859B-52EC-40EF-BCEB-76C4A548AEB6}" name="TCLK" dataDxfId="287" totalsRowDxfId="286" dataCellStyle="Normal"/>
    <tableColumn id="10" xr3:uid="{DB1CD49B-5595-41B1-952E-AA8081FD05F4}" name="Description" dataDxfId="285" totalsRowDxfId="284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03D43-DF00-4B66-9B14-F1F18A6B9289}" name="Table24210286714" displayName="Table24210286714" ref="J23:S24" totalsRowShown="0" headerRowDxfId="283" dataDxfId="282" headerRowCellStyle="Normal" dataCellStyle="Normal">
  <autoFilter ref="J23:S24" xr:uid="{4034E542-0733-4DCD-9841-53236BD7CE2C}"/>
  <tableColumns count="10">
    <tableColumn id="1" xr3:uid="{4DC929CE-65B0-47AE-B7AD-CCAC722DB02C}" name="Instance" dataDxfId="281" totalsRowDxfId="280" dataCellStyle="Normal"/>
    <tableColumn id="2" xr3:uid="{D0255FEA-D6DE-4D26-9564-F16066A0D232}" name="Defintion" dataDxfId="279" totalsRowDxfId="278" dataCellStyle="Normal"/>
    <tableColumn id="3" xr3:uid="{FC9CDCEC-3120-48E4-8964-C9BE290C0DC7}" name="Security" dataDxfId="277" totalsRowDxfId="276" dataCellStyle="Normal"/>
    <tableColumn id="4" xr3:uid="{B8619E79-859D-4A80-9F5A-B2C641C69C34}" name="Access" dataDxfId="275" totalsRowDxfId="274" dataCellStyle="Normal"/>
    <tableColumn id="5" xr3:uid="{77314AB4-3786-4A73-9809-43EE19166765}" name="TDI" dataDxfId="273" totalsRowDxfId="272" dataCellStyle="Normal"/>
    <tableColumn id="6" xr3:uid="{8209AC98-2E53-4A6C-BBCD-CAC4AD9F848B}" name="TDO" dataDxfId="271" totalsRowDxfId="270" dataCellStyle="Normal"/>
    <tableColumn id="7" xr3:uid="{E82573D6-15A0-41E7-A845-40B10795D81A}" name="TMS" dataDxfId="269" totalsRowDxfId="268" dataCellStyle="Normal"/>
    <tableColumn id="8" xr3:uid="{9DCA55FF-47BF-43C3-B58F-D77817CD2968}" name="TRSTb" dataDxfId="267" totalsRowDxfId="266" dataCellStyle="Normal"/>
    <tableColumn id="9" xr3:uid="{7548E7AA-4259-4224-A9AC-2267A59652F1}" name="TCLK" dataDxfId="265" totalsRowDxfId="264" dataCellStyle="Normal"/>
    <tableColumn id="10" xr3:uid="{0C99C03E-51A9-4F5B-ABAE-E68ED45E4881}" name="Description" dataDxfId="263" totalsRowDxfId="262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3EBF59-E513-4EB8-94C8-900BE273D321}" name="Table242102867815" displayName="Table242102867815" ref="J27:P28" totalsRowShown="0" headerRowDxfId="261" dataDxfId="260" headerRowCellStyle="Normal" dataCellStyle="Normal">
  <autoFilter ref="J27:P28" xr:uid="{F674F3D5-1CA5-4297-B2B5-2AD6E5325919}"/>
  <tableColumns count="7">
    <tableColumn id="1" xr3:uid="{4767B91B-48DB-4467-A7AE-1928F96EA201}" name="Type" dataDxfId="259" totalsRowDxfId="258" dataCellStyle="Normal"/>
    <tableColumn id="2" xr3:uid="{9C7A4917-ED2D-472F-B00F-D91AB9D80382}" name="Name" dataDxfId="257" totalsRowDxfId="256" dataCellStyle="Normal"/>
    <tableColumn id="3" xr3:uid="{9E1B8023-6B6E-4900-B00C-A9B4635B0A0C}" name="Width" dataDxfId="255" totalsRowDxfId="254" dataCellStyle="Normal"/>
    <tableColumn id="4" xr3:uid="{1B73E88A-62A2-4713-8F80-88B2E7068B84}" name="Intel Type" dataDxfId="253" totalsRowDxfId="252" dataCellStyle="Normal"/>
    <tableColumn id="5" xr3:uid="{B56EF6D8-8579-450C-A8B3-22EFCFB78C0A}" name="Receiver" dataDxfId="251" totalsRowDxfId="250" dataCellStyle="Normal"/>
    <tableColumn id="6" xr3:uid="{25C34918-9159-47EC-B0F0-BA098C16B955}" name="Properties" dataDxfId="249" totalsRowDxfId="248" dataCellStyle="Normal"/>
    <tableColumn id="7" xr3:uid="{2349C920-1C70-4324-93BA-23725DCBCB7E}" name="Attributes" dataDxfId="247" totalsRowDxfId="246" dataCellStyle="Norm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73953D9-39B3-480F-87CB-98D2342E393E}" name="Table2421028678916" displayName="Table2421028678916" ref="J31:P32" totalsRowShown="0" headerRowDxfId="245" dataDxfId="244" headerRowCellStyle="Normal" dataCellStyle="Normal">
  <autoFilter ref="J31:P32" xr:uid="{97FEF819-3DEC-4B69-A70F-E0BBBE65A43B}"/>
  <tableColumns count="7">
    <tableColumn id="1" xr3:uid="{221BB5FC-75FE-4D87-BD60-FFA09E6B531C}" name="Name" dataDxfId="243" totalsRowDxfId="242" dataCellStyle="Normal"/>
    <tableColumn id="2" xr3:uid="{116DEC17-C4E6-422E-8F56-6FFF231AECA0}" name="Width" dataDxfId="241" totalsRowDxfId="240" dataCellStyle="Normal"/>
    <tableColumn id="3" xr3:uid="{C7656187-D5F3-42EE-B6FF-196324BDD5D4}" name="Security" dataDxfId="239" totalsRowDxfId="238" dataCellStyle="Normal"/>
    <tableColumn id="4" xr3:uid="{2CB35AF7-420B-4755-94E1-498BDBFB285F}" name="Reset value" dataDxfId="237" totalsRowDxfId="236" dataCellStyle="Normal"/>
    <tableColumn id="5" xr3:uid="{C77662D7-2D4F-4DAF-836F-650DE34DED9C}" name="Radix" dataDxfId="235" totalsRowDxfId="234" dataCellStyle="Normal"/>
    <tableColumn id="6" xr3:uid="{D8F38A2F-F5F1-41D5-9FA0-A5A2ED7A0540}" name="Input for TDR.Field" dataDxfId="233" totalsRowDxfId="232" dataCellStyle="Normal"/>
    <tableColumn id="7" xr3:uid="{F5A249ED-7D80-4EEB-AFEA-FD32547CDA34}" name="Description" dataDxfId="231" totalsRowDxfId="230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2CEAF64-6C48-45E8-A045-5D9ED380A2CF}" name="Table242102867891017" displayName="Table242102867891017" ref="J35:P36" totalsRowShown="0" headerRowDxfId="229" dataDxfId="228" headerRowCellStyle="Normal" dataCellStyle="Normal">
  <autoFilter ref="J35:P36" xr:uid="{E0D0BF46-1347-41B0-BA87-5B11A427EC13}"/>
  <tableColumns count="7">
    <tableColumn id="1" xr3:uid="{6630F71E-0F8A-43D6-B040-CAA2CBE345D3}" name="Name" dataDxfId="227" totalsRowDxfId="226" dataCellStyle="Normal"/>
    <tableColumn id="2" xr3:uid="{C889BDB8-2452-4E00-A6D9-2B2ED3752441}" name="Width" dataDxfId="225" totalsRowDxfId="224" dataCellStyle="Normal"/>
    <tableColumn id="3" xr3:uid="{8EEA2EE9-7B9A-4DFA-8DCE-3DBEC25EDDE3}" name="Security" dataDxfId="223" totalsRowDxfId="222" dataCellStyle="Normal"/>
    <tableColumn id="4" xr3:uid="{3535D728-4213-459C-A025-DB4988500858}" name="Reset value" dataDxfId="221" totalsRowDxfId="220" dataCellStyle="Normal"/>
    <tableColumn id="5" xr3:uid="{53573A11-86E1-4867-981B-1EF7278308B5}" name="Radix" dataDxfId="219" totalsRowDxfId="218" dataCellStyle="Normal"/>
    <tableColumn id="6" xr3:uid="{29686BE7-1754-43C4-A534-FB9353F2A948}" name="Input for TDR.Field" dataDxfId="217" totalsRowDxfId="216" dataCellStyle="Normal"/>
    <tableColumn id="7" xr3:uid="{AC82C57F-4D0F-436E-BC97-12D5A036D7C9}" name="Description" dataDxfId="215" totalsRowDxfId="214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F0ADB02-0D74-4A77-9E52-E53AAE68E94C}" name="Table242102867891118" displayName="Table242102867891118" ref="J40:M41" insertRow="1" totalsRowShown="0" headerRowDxfId="213" dataDxfId="212" headerRowCellStyle="Normal" dataCellStyle="Normal">
  <autoFilter ref="J40:M41" xr:uid="{5F57D704-9351-4664-8443-96292CE6A23C}"/>
  <tableColumns count="4">
    <tableColumn id="1" xr3:uid="{511FCAF3-7A62-4F07-A02B-D7057251A56E}" name="Name" dataDxfId="211" totalsRowDxfId="210" dataCellStyle="Normal"/>
    <tableColumn id="2" xr3:uid="{C531CB79-0C00-4BC3-BCA7-EC8858CB017E}" name="Width" dataDxfId="209" totalsRowDxfId="208" dataCellStyle="Normal"/>
    <tableColumn id="3" xr3:uid="{E92A0AC0-B4A6-4FC7-B062-9BA59BFA844A}" name="Output of TDR.Field" dataDxfId="207" totalsRowDxfId="206" dataCellStyle="Normal"/>
    <tableColumn id="4" xr3:uid="{BF62740B-3748-4C36-8809-3CD89D5C6E1A}" name="Description" dataDxfId="205" totalsRowDxfId="204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FF3AED-A8FE-4C75-9E06-D8BED7106F35}" name="Table24210285" displayName="Table24210285" ref="A26:E27" totalsRowShown="0" headerRowDxfId="203" dataDxfId="202" headerRowCellStyle="Normal" dataCellStyle="Normal">
  <autoFilter ref="A26:E27" xr:uid="{9C0D7C79-4B70-476E-BF00-1C3FBCBFCE6E}"/>
  <tableColumns count="5">
    <tableColumn id="1" xr3:uid="{93B93451-C36F-4CAA-9214-938F5FEA4BE3}" name="Opcode Name" dataDxfId="201" totalsRowDxfId="200" dataCellStyle="Normal"/>
    <tableColumn id="2" xr3:uid="{BDE5BF70-8100-40DF-A99C-0BB3095310C1}" name="Opcode Value" dataDxfId="199" totalsRowDxfId="198" dataCellStyle="Normal"/>
    <tableColumn id="3" xr3:uid="{C92897F8-6F56-4943-9E08-365D21940A50}" name="Security" dataDxfId="197" totalsRowDxfId="196" dataCellStyle="Normal"/>
    <tableColumn id="4" xr3:uid="{2415E040-0F49-41BB-834A-DA49E509188D}" name="Definition" dataDxfId="195" totalsRowDxfId="194" dataCellStyle="Normal"/>
    <tableColumn id="5" xr3:uid="{7A2A8854-E95C-47D1-AFFE-E93FAED58FCD}" name="Description" dataDxfId="193" totalsRowDxfId="192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329E15-D47A-4CF8-80FB-8F45F3EF35F9}" name="Table2421028" displayName="Table2421028" ref="A12:J13" totalsRowShown="0" headerRowDxfId="191" dataDxfId="190" headerRowCellStyle="Normal" dataCellStyle="Normal">
  <autoFilter ref="A12:J13" xr:uid="{2428C2E9-BBEE-46F3-9A4D-BDE4DBD33E72}"/>
  <tableColumns count="10">
    <tableColumn id="1" xr3:uid="{8BDCDF53-4DB5-4EC5-AA7B-6B4BA21EF276}" name="Field Name" dataDxfId="189" totalsRowDxfId="188" dataCellStyle="Normal"/>
    <tableColumn id="2" xr3:uid="{0097AA7A-3434-42C6-BA83-CF10F7993A34}" name="Field Width" dataDxfId="187" totalsRowDxfId="186" dataCellStyle="Normal"/>
    <tableColumn id="3" xr3:uid="{904ACA76-7DC5-4118-82A6-5264EDDD8731}" name="Range" dataDxfId="185" totalsRowDxfId="184" dataCellStyle="Normal"/>
    <tableColumn id="4" xr3:uid="{8D322A24-25C2-4382-9EF8-F89E32CCACFB}" name="Access" dataDxfId="183" totalsRowDxfId="182" dataCellStyle="Normal"/>
    <tableColumn id="5" xr3:uid="{074333ED-B121-4C0A-BE95-01127D744F07}" name="Reset Value" dataDxfId="181" totalsRowDxfId="180" dataCellStyle="Normal"/>
    <tableColumn id="6" xr3:uid="{C4296A5B-CC45-4755-8918-ED8A0299235D}" name="Radix" dataDxfId="179" totalsRowDxfId="178" dataCellStyle="Normal"/>
    <tableColumn id="7" xr3:uid="{B344A4EE-FE10-4C6A-90B5-F5FB2B4A11A5}" name="Capture Source" dataDxfId="177" totalsRowDxfId="176" dataCellStyle="Normal"/>
    <tableColumn id="8" xr3:uid="{B8D528BB-CE95-4803-A396-E93454B03486}" name="Primary Output" dataDxfId="175" totalsRowDxfId="174" dataCellStyle="Normal"/>
    <tableColumn id="9" xr3:uid="{262A6064-78AF-4BEE-9F40-737ABED66FD8}" name="Description" dataDxfId="173" totalsRowDxfId="172" dataCellStyle="Normal"/>
    <tableColumn id="10" xr3:uid="{B0434A0F-15D2-4846-97CB-F8CB0F5966CF}" name="RTL Path" dataDxfId="171" totalsRowDxfId="170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CFC0AF-AD5B-450A-AB03-3D588BED4EC3}" name="Table24210282" displayName="Table24210282" ref="A14:J15" totalsRowShown="0" headerRowDxfId="169" dataDxfId="168" headerRowCellStyle="Normal" dataCellStyle="Normal">
  <autoFilter ref="A14:J15" xr:uid="{08522017-67FC-4119-BF06-01ACF243C26F}"/>
  <tableColumns count="10">
    <tableColumn id="1" xr3:uid="{31C4F9E3-FB7D-467B-89E0-F7D3BDCB0563}" name="Field Name" dataDxfId="166" totalsRowDxfId="167" dataCellStyle="Normal"/>
    <tableColumn id="2" xr3:uid="{B93D6B7A-4A2A-4025-811A-D37979EB100F}" name="Field Width" dataDxfId="164" totalsRowDxfId="165" dataCellStyle="Normal"/>
    <tableColumn id="3" xr3:uid="{4E298A03-0A19-48D7-962D-11AFD900E13A}" name="Range" dataDxfId="162" totalsRowDxfId="163" dataCellStyle="Normal"/>
    <tableColumn id="4" xr3:uid="{05C4D6BA-D63B-4D78-BF8A-5A6B53E3DF57}" name="Access" dataDxfId="160" totalsRowDxfId="161" dataCellStyle="Normal"/>
    <tableColumn id="5" xr3:uid="{391E1851-F6D8-482E-B84D-6CB24C4C2E01}" name="Reset Value" dataDxfId="158" totalsRowDxfId="159" dataCellStyle="Normal">
      <calculatedColumnFormula>DEC2BIN("10")</calculatedColumnFormula>
    </tableColumn>
    <tableColumn id="6" xr3:uid="{04D27F5D-C8F8-4040-835A-6CC69CB8F587}" name="Radix" dataDxfId="156" totalsRowDxfId="157" dataCellStyle="Normal"/>
    <tableColumn id="7" xr3:uid="{EE5D8CC6-967F-4441-9A6E-EFCEDDF59455}" name="Capture Source" dataDxfId="154" totalsRowDxfId="155" dataCellStyle="Normal"/>
    <tableColumn id="8" xr3:uid="{4E314287-88CA-432A-A439-9FDB746BB0ED}" name="Primary Output" dataDxfId="152" totalsRowDxfId="153" dataCellStyle="Normal"/>
    <tableColumn id="9" xr3:uid="{DD0373F4-188B-46AE-8302-985B9EE4BCD8}" name="Description" dataDxfId="150" totalsRowDxfId="151" dataCellStyle="Normal"/>
    <tableColumn id="10" xr3:uid="{15159AF2-71DD-4C30-AE82-83BAADFEC345}" name="RTL Path" dataDxfId="148" totalsRowDxfId="149" dataCellStyle="Norm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E3B856-A579-482B-B402-C06EB4656F2B}" name="Table24210284" displayName="Table24210284" ref="A28:J30" totalsRowShown="0" headerRowDxfId="147" dataDxfId="146" headerRowCellStyle="Normal" dataCellStyle="Normal">
  <autoFilter ref="A28:J30" xr:uid="{3CF42B82-C0FD-4307-9BE7-D82EC0D9FB64}"/>
  <tableColumns count="10">
    <tableColumn id="1" xr3:uid="{1E863CA0-757F-433C-B326-85BAD20D9D89}" name="Field Name" dataDxfId="144" totalsRowDxfId="145" dataCellStyle="Normal"/>
    <tableColumn id="2" xr3:uid="{D6272A24-FA9E-4BF6-9288-93742E1542C7}" name="Field Width" dataDxfId="142" totalsRowDxfId="143" dataCellStyle="Normal"/>
    <tableColumn id="3" xr3:uid="{F9284B20-6FAA-478D-A764-85985461223E}" name="Range" dataDxfId="140" totalsRowDxfId="141" dataCellStyle="Normal"/>
    <tableColumn id="4" xr3:uid="{B65C1A60-E458-4D81-A62D-E3060897D701}" name="Access" dataDxfId="138" totalsRowDxfId="139" dataCellStyle="Normal"/>
    <tableColumn id="5" xr3:uid="{74CA2FBD-DAB4-4DCC-A9C8-FD78FB6B430B}" name="Reset Value" dataDxfId="136" totalsRowDxfId="137" dataCellStyle="Normal"/>
    <tableColumn id="6" xr3:uid="{640F9E9D-7B0B-4848-ADCB-05EA8D9CBAAF}" name="Radix" dataDxfId="134" totalsRowDxfId="135" dataCellStyle="Normal"/>
    <tableColumn id="7" xr3:uid="{EC5F4A1B-E348-4D96-88A3-AD902FE92512}" name="Capture Source" dataDxfId="132" totalsRowDxfId="133" dataCellStyle="Normal"/>
    <tableColumn id="8" xr3:uid="{4A261458-0652-467C-9D46-11268D01830D}" name="Primary Output" dataDxfId="130" totalsRowDxfId="131" dataCellStyle="Normal"/>
    <tableColumn id="9" xr3:uid="{F3D4232B-5544-4DDC-9999-C61A0662FE7D}" name="Description" dataDxfId="128" totalsRowDxfId="129" dataCellStyle="Normal"/>
    <tableColumn id="10" xr3:uid="{2B093469-CF6E-4C41-94E9-239DCB6C8C4B}" name="RTL Path" dataDxfId="126" totalsRowDxfId="127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3CC951-1695-42EA-816C-D6AB11FF20D9}" name="Table242102856" displayName="Table242102856" ref="A13:E14" totalsRowShown="0" headerRowDxfId="125" dataDxfId="124" headerRowCellStyle="Normal" dataCellStyle="Normal">
  <autoFilter ref="A13:E14" xr:uid="{3C271A72-1516-43E0-9884-AD2CACC06C5A}"/>
  <tableColumns count="5">
    <tableColumn id="1" xr3:uid="{7E2ABCC7-3FC9-4466-BDF0-9106630E782A}" name="Opcode Name" dataDxfId="122" totalsRowDxfId="123" dataCellStyle="Normal"/>
    <tableColumn id="2" xr3:uid="{F436E80B-7A56-460D-83B2-0343C0962D44}" name="Opcode Value" dataDxfId="120" totalsRowDxfId="121" dataCellStyle="Normal"/>
    <tableColumn id="3" xr3:uid="{3054030C-924C-4FB9-95F1-97CA267EC7EB}" name="Security" dataDxfId="118" totalsRowDxfId="119" dataCellStyle="Normal"/>
    <tableColumn id="4" xr3:uid="{F5D0F9E2-607F-458E-A34B-6394CDD088B1}" name="Definition" dataDxfId="116" totalsRowDxfId="117" dataCellStyle="Normal"/>
    <tableColumn id="5" xr3:uid="{BBFFAAAA-4590-4196-BD3B-9C509A6EC295}" name="Description" dataDxfId="114" totalsRowDxfId="115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F0A0B7-3152-4275-989C-6E408EB19531}" name="Table242102857" displayName="Table242102857" ref="A26:E27" totalsRowShown="0" headerRowDxfId="113" dataDxfId="112" headerRowCellStyle="Normal" dataCellStyle="Normal">
  <autoFilter ref="A26:E27" xr:uid="{D6C9D26C-6668-413F-B69D-F4110BCDEE8F}"/>
  <tableColumns count="5">
    <tableColumn id="1" xr3:uid="{8FD46F26-EA39-4DF3-A2C3-85B05559F054}" name="Opcode Name" dataDxfId="110" totalsRowDxfId="111" dataCellStyle="Normal"/>
    <tableColumn id="2" xr3:uid="{A548AB5D-C317-4B1E-8FE6-2E709BF22C66}" name="Opcode Value" dataDxfId="108" totalsRowDxfId="109" dataCellStyle="Normal"/>
    <tableColumn id="3" xr3:uid="{D1B27560-2D28-4F47-B6FB-DEA56AB1690A}" name="Security" dataDxfId="106" totalsRowDxfId="107" dataCellStyle="Normal"/>
    <tableColumn id="4" xr3:uid="{E864DA7C-599F-4AE5-B3F3-780FA50259E5}" name="Definition" dataDxfId="104" totalsRowDxfId="105" dataCellStyle="Normal"/>
    <tableColumn id="5" xr3:uid="{B2D9C1CD-958A-491B-A93B-8C5F80B8B62C}" name="Description" dataDxfId="102" totalsRowDxfId="103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8E1628-3445-4535-B0EA-6CCBDF748BC5}" name="Table24210286138" displayName="Table24210286138" ref="A4:J5" totalsRowShown="0" headerRowDxfId="101" dataDxfId="100" headerRowCellStyle="Normal" dataCellStyle="Normal">
  <autoFilter ref="A4:J5" xr:uid="{53941C27-04D4-48B9-9B33-E4F26412ECBD}"/>
  <tableColumns count="10">
    <tableColumn id="1" xr3:uid="{11DADD47-64EB-414F-8A16-4CD6820A2E51}" name="Instance" dataDxfId="98" totalsRowDxfId="99" dataCellStyle="Normal"/>
    <tableColumn id="2" xr3:uid="{9AC11744-F35E-4970-9DBD-B36E655C92BC}" name="Defintion" dataDxfId="96" totalsRowDxfId="97" dataCellStyle="Normal"/>
    <tableColumn id="3" xr3:uid="{892E3641-1867-4E0E-9C44-0495F427B492}" name="Security" dataDxfId="94" totalsRowDxfId="95" dataCellStyle="Normal"/>
    <tableColumn id="4" xr3:uid="{EBF1AD76-3403-4BF6-A07D-680F72A3A50B}" name="Access" dataDxfId="92" totalsRowDxfId="93" dataCellStyle="Normal"/>
    <tableColumn id="5" xr3:uid="{97381ABA-7716-4CCF-8F5A-C8BE8CDD3389}" name="TDI" dataDxfId="90" totalsRowDxfId="91" dataCellStyle="Normal"/>
    <tableColumn id="6" xr3:uid="{87B42EE3-E596-4B54-93A2-D33FE56E1692}" name="TDO" dataDxfId="88" totalsRowDxfId="89" dataCellStyle="Normal"/>
    <tableColumn id="7" xr3:uid="{2278BD23-786F-47A3-A421-B4ECF995E336}" name="TMS" dataDxfId="86" totalsRowDxfId="87" dataCellStyle="Normal"/>
    <tableColumn id="8" xr3:uid="{2C6F99B8-015F-485B-9288-25FD525C6EF8}" name="TRSTb" dataDxfId="84" totalsRowDxfId="85" dataCellStyle="Normal"/>
    <tableColumn id="9" xr3:uid="{D3442A3C-0F78-4F35-8C04-B6D8CA9419D2}" name="TCLK" dataDxfId="82" totalsRowDxfId="83" dataCellStyle="Normal"/>
    <tableColumn id="10" xr3:uid="{44907BA0-32FC-43A1-A58A-E4D98793D73C}" name="Description" dataDxfId="80" totalsRowDxfId="81" dataCellStyle="Norm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A4F43A-89A7-49B3-99B1-94106E907E06}" name="Table242102867149" displayName="Table242102867149" ref="A8:J9" totalsRowShown="0" headerRowDxfId="79" dataDxfId="78" headerRowCellStyle="Normal" dataCellStyle="Normal">
  <autoFilter ref="A8:J9" xr:uid="{1C860E68-98D7-4410-8CA5-B54DC9FB1D4A}"/>
  <tableColumns count="10">
    <tableColumn id="1" xr3:uid="{01FADB0C-D91F-411D-9F3F-2549D7F7446D}" name="Instance" dataDxfId="76" totalsRowDxfId="77" dataCellStyle="Normal"/>
    <tableColumn id="2" xr3:uid="{EF536486-D2A5-4BED-BB0A-BE9690D799FD}" name="Defintion" dataDxfId="74" totalsRowDxfId="75" dataCellStyle="Normal"/>
    <tableColumn id="3" xr3:uid="{7B29CCFC-C352-48C7-B969-9F0FF5D71CEE}" name="Security" dataDxfId="72" totalsRowDxfId="73" dataCellStyle="Normal"/>
    <tableColumn id="4" xr3:uid="{6BBD9755-3445-4720-9A97-675FB6188F4C}" name="Access" dataDxfId="70" totalsRowDxfId="71" dataCellStyle="Normal"/>
    <tableColumn id="5" xr3:uid="{2A59FAC0-F8C0-42A6-8978-F7ADB9304D4B}" name="TDI" dataDxfId="68" totalsRowDxfId="69" dataCellStyle="Normal"/>
    <tableColumn id="6" xr3:uid="{DBF699A7-00B9-44E5-995F-BE369CD44F19}" name="TDO" dataDxfId="66" totalsRowDxfId="67" dataCellStyle="Normal"/>
    <tableColumn id="7" xr3:uid="{541E9D1A-636B-4FC8-B65B-7023EE44FFF7}" name="TMS" dataDxfId="64" totalsRowDxfId="65" dataCellStyle="Normal"/>
    <tableColumn id="8" xr3:uid="{BFAF33C3-EC23-41E5-9353-D73D8D65D664}" name="TRSTb" dataDxfId="62" totalsRowDxfId="63" dataCellStyle="Normal"/>
    <tableColumn id="9" xr3:uid="{C7CC7052-6605-4BF9-99F9-11749294068E}" name="TCLK" dataDxfId="60" totalsRowDxfId="61" dataCellStyle="Normal"/>
    <tableColumn id="10" xr3:uid="{FA06A860-9D6D-4C3D-B815-D1C97246881D}" name="Description" dataDxfId="58" totalsRowDxfId="59" dataCellStyle="Normal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A9F5029-D4D6-4D9C-A227-ED7C47AE57F1}" name="Table24210286781510" displayName="Table24210286781510" ref="A12:G13" totalsRowShown="0" headerRowDxfId="57" dataDxfId="56" headerRowCellStyle="Normal" dataCellStyle="Normal">
  <autoFilter ref="A12:G13" xr:uid="{91E3A47C-D400-41D3-AC5E-2C33A135B7FB}"/>
  <tableColumns count="7">
    <tableColumn id="1" xr3:uid="{4B942BFF-8850-459F-B59F-70C5C3A320F5}" name="Type" dataDxfId="54" totalsRowDxfId="55" dataCellStyle="Normal"/>
    <tableColumn id="2" xr3:uid="{31298737-EF59-4AFA-A032-7EBFB4A4FA3E}" name="Name" dataDxfId="52" totalsRowDxfId="53" dataCellStyle="Normal"/>
    <tableColumn id="3" xr3:uid="{FCFB4F33-35CB-4FAD-B508-9CA370528388}" name="Width" dataDxfId="50" totalsRowDxfId="51" dataCellStyle="Normal"/>
    <tableColumn id="4" xr3:uid="{FE687AB0-4908-4528-B168-9B5FFAE9C9E0}" name="Intel Type" dataDxfId="48" totalsRowDxfId="49" dataCellStyle="Normal"/>
    <tableColumn id="5" xr3:uid="{1290BA8E-39AB-4469-810F-A935E953D6BF}" name="Receiver" dataDxfId="46" totalsRowDxfId="47" dataCellStyle="Normal"/>
    <tableColumn id="6" xr3:uid="{A9940E19-D0A6-4193-B8B1-939C6B4F2625}" name="Properties" dataDxfId="44" totalsRowDxfId="45" dataCellStyle="Normal"/>
    <tableColumn id="7" xr3:uid="{0F5829E1-C217-43E7-B882-2E3E3ADFACAB}" name="Attributes" dataDxfId="42" totalsRowDxfId="43" dataCellStyle="Normal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039D8AB-0AB0-4D6A-A908-2F379CD7591A}" name="Table242102867891611" displayName="Table242102867891611" ref="A16:G17" totalsRowShown="0" headerRowDxfId="41" dataDxfId="40" headerRowCellStyle="Normal" dataCellStyle="Normal">
  <autoFilter ref="A16:G17" xr:uid="{2F35456E-FDA4-48B2-870D-A7BE7A546B34}"/>
  <tableColumns count="7">
    <tableColumn id="1" xr3:uid="{D33D2B8B-E4F5-41C6-9C47-EAF9BC3B2C75}" name="Name" dataDxfId="38" totalsRowDxfId="39" dataCellStyle="Normal"/>
    <tableColumn id="2" xr3:uid="{95E1CFEF-7CE7-4B00-8087-4BB2FD0C1864}" name="Width" dataDxfId="36" totalsRowDxfId="37" dataCellStyle="Normal"/>
    <tableColumn id="3" xr3:uid="{07E42D01-8831-4545-9E97-BD24F229A4C2}" name="Security" dataDxfId="34" totalsRowDxfId="35" dataCellStyle="Normal"/>
    <tableColumn id="4" xr3:uid="{BE49EB6E-5634-4AA4-BBE4-777114A34154}" name="Reset value" dataDxfId="32" totalsRowDxfId="33" dataCellStyle="Normal"/>
    <tableColumn id="5" xr3:uid="{5FE87BE0-13B1-49E0-8F98-F022B6E3B72E}" name="Radix" dataDxfId="30" totalsRowDxfId="31" dataCellStyle="Normal"/>
    <tableColumn id="6" xr3:uid="{FBD8F351-89D1-4297-9E49-4AD76D0BEE9A}" name="Input for TDR.Field" dataDxfId="28" totalsRowDxfId="29" dataCellStyle="Normal"/>
    <tableColumn id="7" xr3:uid="{EE6DBD6C-8669-4770-8507-1FF3E1CC19A3}" name="Description" dataDxfId="26" totalsRowDxfId="27" dataCellStyle="Normal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4421B4A-91C8-4776-8F2C-99FBC538608A}" name="Table24210286789101712" displayName="Table24210286789101712" ref="A20:G21" totalsRowShown="0" headerRowDxfId="25" dataDxfId="24" headerRowCellStyle="Normal" dataCellStyle="Normal">
  <autoFilter ref="A20:G21" xr:uid="{27AD1F92-8595-4CC5-A32A-848206E5BBB3}"/>
  <tableColumns count="7">
    <tableColumn id="1" xr3:uid="{84577FA6-ACEB-4A96-8E5D-EE282E1D62C4}" name="Name" dataDxfId="22" totalsRowDxfId="23" dataCellStyle="Normal"/>
    <tableColumn id="2" xr3:uid="{F6772FD7-52FD-4533-8841-91C15E2D99A4}" name="Width" dataDxfId="20" totalsRowDxfId="21" dataCellStyle="Normal"/>
    <tableColumn id="3" xr3:uid="{5DBCDFEC-252E-4A07-B221-37292DBD0A1B}" name="Security" dataDxfId="18" totalsRowDxfId="19" dataCellStyle="Normal"/>
    <tableColumn id="4" xr3:uid="{A6C7B8FA-55A5-45C9-9840-DB91D528D57C}" name="Reset value" dataDxfId="16" totalsRowDxfId="17" dataCellStyle="Normal"/>
    <tableColumn id="5" xr3:uid="{EA6BF6B7-9A35-4176-8779-26042E61F6C7}" name="Radix" dataDxfId="14" totalsRowDxfId="15" dataCellStyle="Normal"/>
    <tableColumn id="6" xr3:uid="{1B93C5C9-240B-4DFB-98E4-EF55205CED44}" name="Input for TDR.Field" dataDxfId="12" totalsRowDxfId="13" dataCellStyle="Normal"/>
    <tableColumn id="7" xr3:uid="{031E4379-DADC-4767-A9DD-20813479E7AC}" name="Description" dataDxfId="10" totalsRowDxfId="11" dataCellStyle="Normal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8763471-A179-4A53-AAE1-9F786FB01359}" name="Table24210286789111819" displayName="Table24210286789111819" ref="A25:D26" insertRow="1" totalsRowShown="0" headerRowDxfId="9" dataDxfId="8" headerRowCellStyle="Normal" dataCellStyle="Normal">
  <autoFilter ref="A25:D26" xr:uid="{62BB28D6-F864-465D-B210-85088266D068}"/>
  <tableColumns count="4">
    <tableColumn id="1" xr3:uid="{E37F26B8-947F-4EC0-850C-A0CC2F093213}" name="Name" dataDxfId="6" totalsRowDxfId="7" dataCellStyle="Normal"/>
    <tableColumn id="2" xr3:uid="{E24957B7-5D37-46CD-8325-06A6399F4B21}" name="Width" dataDxfId="4" totalsRowDxfId="5" dataCellStyle="Normal"/>
    <tableColumn id="3" xr3:uid="{2E7EA8C7-C0CC-4F68-BDA2-A727530C8CAA}" name="Output of TDR.Field" dataDxfId="2" totalsRowDxfId="3" dataCellStyle="Normal"/>
    <tableColumn id="4" xr3:uid="{D4133F64-FE35-4922-BF10-FB2C378A205E}" name="Description" dataDxfId="0" totalsRowDxfId="1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FD682-946B-4BFE-B52E-0DF92C5BBCC3}">
  <sheetPr codeName="Sheet3"/>
  <dimension ref="A1:S41"/>
  <sheetViews>
    <sheetView topLeftCell="A4" workbookViewId="0">
      <selection activeCell="J18" sqref="J18:S41"/>
    </sheetView>
  </sheetViews>
  <sheetFormatPr defaultRowHeight="14.4" x14ac:dyDescent="0.3"/>
  <cols>
    <col min="10" max="10" width="26.44140625" bestFit="1" customWidth="1"/>
    <col min="11" max="11" width="19.77734375" customWidth="1"/>
    <col min="12" max="12" width="19.88671875" bestFit="1" customWidth="1"/>
    <col min="13" max="13" width="12.77734375" bestFit="1" customWidth="1"/>
    <col min="14" max="14" width="10.33203125" bestFit="1" customWidth="1"/>
    <col min="15" max="15" width="19" bestFit="1" customWidth="1"/>
    <col min="16" max="16" width="12.6640625" bestFit="1" customWidth="1"/>
    <col min="17" max="17" width="8.44140625" bestFit="1" customWidth="1"/>
    <col min="18" max="18" width="7.33203125" bestFit="1" customWidth="1"/>
    <col min="19" max="19" width="27.21875" customWidth="1"/>
    <col min="20" max="20" width="16.77734375" customWidth="1"/>
    <col min="21" max="21" width="10.6640625" bestFit="1" customWidth="1"/>
    <col min="22" max="22" width="8" bestFit="1" customWidth="1"/>
  </cols>
  <sheetData>
    <row r="1" spans="1:14" x14ac:dyDescent="0.3">
      <c r="A1" s="4" t="s">
        <v>14</v>
      </c>
    </row>
    <row r="2" spans="1:14" x14ac:dyDescent="0.3">
      <c r="A2" s="4" t="s">
        <v>11</v>
      </c>
    </row>
    <row r="4" spans="1:14" x14ac:dyDescent="0.3">
      <c r="A4" s="39" t="s">
        <v>34</v>
      </c>
      <c r="B4" s="40" t="s">
        <v>35</v>
      </c>
      <c r="C4" s="40" t="s">
        <v>36</v>
      </c>
      <c r="D4" s="40" t="s">
        <v>37</v>
      </c>
      <c r="E4" s="40" t="s">
        <v>38</v>
      </c>
      <c r="F4" s="40" t="s">
        <v>39</v>
      </c>
      <c r="G4" s="40" t="s">
        <v>40</v>
      </c>
      <c r="H4" s="40" t="s">
        <v>41</v>
      </c>
      <c r="N4" s="41"/>
    </row>
    <row r="6" spans="1:14" x14ac:dyDescent="0.3">
      <c r="A6" s="32" t="s">
        <v>42</v>
      </c>
      <c r="B6" s="33"/>
      <c r="C6" s="33"/>
      <c r="D6" s="33"/>
      <c r="E6" s="33"/>
      <c r="F6" s="33"/>
      <c r="G6" s="33"/>
      <c r="H6" s="33"/>
    </row>
    <row r="7" spans="1:14" x14ac:dyDescent="0.3">
      <c r="A7" s="34" t="s">
        <v>32</v>
      </c>
      <c r="C7" s="33"/>
      <c r="D7" s="33"/>
      <c r="E7" s="33"/>
      <c r="F7" s="33"/>
      <c r="G7" s="33"/>
      <c r="H7" s="33"/>
    </row>
    <row r="8" spans="1:14" x14ac:dyDescent="0.3">
      <c r="A8" s="35"/>
      <c r="B8" s="36"/>
      <c r="C8" s="33"/>
      <c r="D8" s="33"/>
      <c r="E8" s="33"/>
      <c r="F8" s="33"/>
      <c r="G8" s="33"/>
      <c r="H8" s="33"/>
    </row>
    <row r="9" spans="1:14" x14ac:dyDescent="0.3">
      <c r="A9" s="34" t="s">
        <v>33</v>
      </c>
      <c r="B9" s="33"/>
      <c r="C9" s="33"/>
      <c r="D9" s="33"/>
      <c r="E9" s="33"/>
      <c r="F9" s="33"/>
      <c r="G9" s="33"/>
      <c r="H9" s="33"/>
    </row>
    <row r="12" spans="1:14" x14ac:dyDescent="0.3">
      <c r="A12" s="35"/>
      <c r="B12" s="36"/>
    </row>
    <row r="14" spans="1:14" x14ac:dyDescent="0.3">
      <c r="A14" s="37"/>
      <c r="B14" s="38"/>
    </row>
    <row r="18" spans="10:19" x14ac:dyDescent="0.3">
      <c r="J18" s="41" t="s">
        <v>43</v>
      </c>
    </row>
    <row r="19" spans="10:19" x14ac:dyDescent="0.3">
      <c r="J19" s="43" t="s">
        <v>44</v>
      </c>
      <c r="K19" s="44" t="s">
        <v>45</v>
      </c>
      <c r="L19" s="45" t="s">
        <v>0</v>
      </c>
      <c r="M19" s="45" t="s">
        <v>12</v>
      </c>
      <c r="N19" s="45" t="s">
        <v>46</v>
      </c>
      <c r="O19" s="46" t="s">
        <v>47</v>
      </c>
      <c r="P19" s="46" t="s">
        <v>48</v>
      </c>
      <c r="Q19" t="s">
        <v>49</v>
      </c>
      <c r="R19" s="28" t="s">
        <v>50</v>
      </c>
      <c r="S19" s="28" t="s">
        <v>3</v>
      </c>
    </row>
    <row r="20" spans="10:19" x14ac:dyDescent="0.3">
      <c r="J20" s="19"/>
      <c r="K20" s="20"/>
      <c r="L20" s="25"/>
      <c r="M20" s="20"/>
      <c r="N20" s="20"/>
      <c r="O20" s="19"/>
      <c r="P20" s="8"/>
      <c r="Q20" s="8"/>
      <c r="R20" s="27"/>
      <c r="S20" s="27"/>
    </row>
    <row r="22" spans="10:19" x14ac:dyDescent="0.3">
      <c r="J22" s="41" t="s">
        <v>51</v>
      </c>
    </row>
    <row r="23" spans="10:19" x14ac:dyDescent="0.3">
      <c r="J23" s="43" t="s">
        <v>44</v>
      </c>
      <c r="K23" s="44" t="s">
        <v>45</v>
      </c>
      <c r="L23" s="45" t="s">
        <v>0</v>
      </c>
      <c r="M23" s="45" t="s">
        <v>12</v>
      </c>
      <c r="N23" s="45" t="s">
        <v>46</v>
      </c>
      <c r="O23" s="46" t="s">
        <v>47</v>
      </c>
      <c r="P23" s="46" t="s">
        <v>48</v>
      </c>
      <c r="Q23" t="s">
        <v>49</v>
      </c>
      <c r="R23" s="28" t="s">
        <v>50</v>
      </c>
      <c r="S23" s="28" t="s">
        <v>3</v>
      </c>
    </row>
    <row r="24" spans="10:19" x14ac:dyDescent="0.3">
      <c r="J24" s="19"/>
      <c r="K24" s="20"/>
      <c r="L24" s="25"/>
      <c r="M24" s="20"/>
      <c r="N24" s="20"/>
      <c r="O24" s="19"/>
      <c r="P24" s="8"/>
      <c r="Q24" s="8"/>
      <c r="R24" s="27"/>
      <c r="S24" s="27"/>
    </row>
    <row r="26" spans="10:19" x14ac:dyDescent="0.3">
      <c r="J26" s="41" t="s">
        <v>52</v>
      </c>
    </row>
    <row r="27" spans="10:19" x14ac:dyDescent="0.3">
      <c r="J27" s="43" t="s">
        <v>53</v>
      </c>
      <c r="K27" s="44" t="s">
        <v>54</v>
      </c>
      <c r="L27" s="45" t="s">
        <v>55</v>
      </c>
      <c r="M27" s="45" t="s">
        <v>56</v>
      </c>
      <c r="N27" s="45" t="s">
        <v>57</v>
      </c>
      <c r="O27" s="46" t="s">
        <v>58</v>
      </c>
      <c r="P27" s="46" t="s">
        <v>59</v>
      </c>
    </row>
    <row r="28" spans="10:19" x14ac:dyDescent="0.3">
      <c r="J28" s="8"/>
      <c r="K28" s="20"/>
      <c r="L28" s="20"/>
      <c r="M28" s="8"/>
      <c r="N28" s="20"/>
      <c r="O28" s="19"/>
      <c r="P28" s="8"/>
    </row>
    <row r="30" spans="10:19" x14ac:dyDescent="0.3">
      <c r="J30" s="41" t="s">
        <v>60</v>
      </c>
    </row>
    <row r="31" spans="10:19" x14ac:dyDescent="0.3">
      <c r="J31" s="43" t="s">
        <v>54</v>
      </c>
      <c r="K31" s="44" t="s">
        <v>55</v>
      </c>
      <c r="L31" s="45" t="s">
        <v>0</v>
      </c>
      <c r="M31" s="45" t="s">
        <v>61</v>
      </c>
      <c r="N31" s="45" t="s">
        <v>31</v>
      </c>
      <c r="O31" s="46" t="s">
        <v>62</v>
      </c>
      <c r="P31" s="46" t="s">
        <v>3</v>
      </c>
    </row>
    <row r="32" spans="10:19" x14ac:dyDescent="0.3">
      <c r="J32" s="19"/>
      <c r="K32" s="20"/>
      <c r="L32" s="25"/>
      <c r="M32" s="20"/>
      <c r="N32" s="20"/>
      <c r="O32" s="19"/>
      <c r="P32" s="8"/>
    </row>
    <row r="34" spans="10:16" x14ac:dyDescent="0.3">
      <c r="J34" s="42" t="s">
        <v>63</v>
      </c>
    </row>
    <row r="35" spans="10:16" x14ac:dyDescent="0.3">
      <c r="J35" s="43" t="s">
        <v>54</v>
      </c>
      <c r="K35" s="44" t="s">
        <v>55</v>
      </c>
      <c r="L35" s="45" t="s">
        <v>0</v>
      </c>
      <c r="M35" s="45" t="s">
        <v>61</v>
      </c>
      <c r="N35" s="45" t="s">
        <v>31</v>
      </c>
      <c r="O35" s="46" t="s">
        <v>62</v>
      </c>
      <c r="P35" s="46" t="s">
        <v>3</v>
      </c>
    </row>
    <row r="36" spans="10:16" x14ac:dyDescent="0.3">
      <c r="J36" s="19"/>
      <c r="K36" s="20"/>
      <c r="L36" s="25"/>
      <c r="M36" s="20"/>
      <c r="N36" s="20"/>
      <c r="O36" s="19"/>
      <c r="P36" s="8"/>
    </row>
    <row r="38" spans="10:16" x14ac:dyDescent="0.3">
      <c r="J38" s="41" t="s">
        <v>64</v>
      </c>
    </row>
    <row r="39" spans="10:16" x14ac:dyDescent="0.3">
      <c r="J39" s="42" t="s">
        <v>63</v>
      </c>
    </row>
    <row r="40" spans="10:16" x14ac:dyDescent="0.3">
      <c r="J40" s="43" t="s">
        <v>54</v>
      </c>
      <c r="K40" s="44" t="s">
        <v>55</v>
      </c>
      <c r="L40" s="45" t="s">
        <v>65</v>
      </c>
      <c r="M40" s="45" t="s">
        <v>3</v>
      </c>
    </row>
    <row r="41" spans="10:16" x14ac:dyDescent="0.3">
      <c r="J41" s="19"/>
      <c r="K41" s="20"/>
      <c r="L41" s="20"/>
      <c r="M41" s="20"/>
    </row>
  </sheetData>
  <dataValidations count="7">
    <dataValidation type="list" allowBlank="1" showInputMessage="1" showErrorMessage="1" sqref="N15:N17 J28" xr:uid="{9B39EEC2-2942-4852-96F8-8D22DBA3425F}">
      <formula1>"DataInPort, ResetPort, ClockPort"</formula1>
    </dataValidation>
    <dataValidation type="list" allowBlank="1" showInputMessage="1" showErrorMessage="1" sqref="Q15:Q16 M28" xr:uid="{805F072E-6184-4A42-8561-2CDB7A054D5B}">
      <formula1>"powergood, powergood_b, tlr_reset, tlr_reset_b,security,slvidcode"</formula1>
    </dataValidation>
    <dataValidation type="list" allowBlank="1" showInputMessage="1" showErrorMessage="1" sqref="M20 M24 M41 M32 M36" xr:uid="{6CA7F768-2862-4426-B747-53EB91C120A2}">
      <formula1>"RO,RW,RO/V,RW/V,Rsvd"</formula1>
    </dataValidation>
    <dataValidation type="list" allowBlank="1" showInputMessage="1" showErrorMessage="1" sqref="L20 L24 L32 L36" xr:uid="{5DD13072-FB4F-448D-85AF-DD01B5CDB4F7}">
      <formula1>"GREEN,ORANGE,RED"</formula1>
    </dataValidation>
    <dataValidation type="list" allowBlank="1" showInputMessage="1" showErrorMessage="1" sqref="K20" xr:uid="{349013E0-202E-4D93-BAD9-BA03AC4673D1}">
      <formula1>indexTap</formula1>
    </dataValidation>
    <dataValidation type="list" allowBlank="1" showInputMessage="1" showErrorMessage="1" sqref="K24" xr:uid="{4FA83577-EE59-4629-8EA6-73957E397708}">
      <formula1>indexChains</formula1>
    </dataValidation>
    <dataValidation type="list" allowBlank="1" showInputMessage="1" showErrorMessage="1" sqref="B8 B12" xr:uid="{9157738A-C108-42ED-AC3F-6EF47BA5207C}">
      <formula1>indexReg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975-DE6C-46BA-A336-177CBE4289EA}">
  <sheetPr codeName="Sheet6"/>
  <dimension ref="A1:D9"/>
  <sheetViews>
    <sheetView tabSelected="1" zoomScale="170" zoomScaleNormal="170" workbookViewId="0">
      <selection activeCell="D8" sqref="D8"/>
    </sheetView>
  </sheetViews>
  <sheetFormatPr defaultRowHeight="14.4" x14ac:dyDescent="0.3"/>
  <cols>
    <col min="1" max="1" width="22.88671875" customWidth="1"/>
    <col min="2" max="2" width="13.21875" customWidth="1"/>
  </cols>
  <sheetData>
    <row r="1" spans="1:4" x14ac:dyDescent="0.3">
      <c r="A1" s="41" t="s">
        <v>66</v>
      </c>
    </row>
    <row r="2" spans="1:4" x14ac:dyDescent="0.3">
      <c r="A2" t="s">
        <v>67</v>
      </c>
      <c r="B2" t="s">
        <v>68</v>
      </c>
    </row>
    <row r="3" spans="1:4" x14ac:dyDescent="0.3">
      <c r="A3" t="s">
        <v>69</v>
      </c>
      <c r="B3" t="s">
        <v>78</v>
      </c>
      <c r="D3" t="s">
        <v>70</v>
      </c>
    </row>
    <row r="5" spans="1:4" x14ac:dyDescent="0.3">
      <c r="A5" s="41" t="s">
        <v>71</v>
      </c>
    </row>
    <row r="6" spans="1:4" x14ac:dyDescent="0.3">
      <c r="A6" t="s">
        <v>72</v>
      </c>
    </row>
    <row r="7" spans="1:4" x14ac:dyDescent="0.3">
      <c r="A7" t="s">
        <v>73</v>
      </c>
    </row>
    <row r="8" spans="1:4" x14ac:dyDescent="0.3">
      <c r="A8" t="s">
        <v>74</v>
      </c>
      <c r="B8" t="s">
        <v>77</v>
      </c>
    </row>
    <row r="9" spans="1:4" x14ac:dyDescent="0.3">
      <c r="A9" t="s">
        <v>76</v>
      </c>
      <c r="B9" t="s">
        <v>75</v>
      </c>
    </row>
  </sheetData>
  <dataValidations count="3">
    <dataValidation type="list" allowBlank="1" showInputMessage="1" showErrorMessage="1" sqref="B8:B9" xr:uid="{C24D005A-ACEE-4D5D-B66E-F3E591C2676D}">
      <formula1>"Yes, No"</formula1>
    </dataValidation>
    <dataValidation type="list" allowBlank="1" showInputMessage="1" showErrorMessage="1" sqref="B3" xr:uid="{27E49B3B-583B-4887-993D-0F014EA341BF}">
      <formula1>"sib_std, sib_with_rpt"</formula1>
    </dataValidation>
    <dataValidation type="list" allowBlank="1" showInputMessage="1" showErrorMessage="1" sqref="B2" xr:uid="{1CECBB38-AB59-4232-88AE-F28ACEA5D48B}">
      <formula1>"Hierarchical, TapLink, Universal"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381C0-5763-4B35-81E9-88459467B018}">
  <sheetPr codeName="Sheet7">
    <outlinePr applyStyles="1"/>
  </sheetPr>
  <dimension ref="A1:J27"/>
  <sheetViews>
    <sheetView zoomScaleNormal="100" workbookViewId="0">
      <selection activeCell="A18" sqref="A18:F29"/>
    </sheetView>
  </sheetViews>
  <sheetFormatPr defaultColWidth="8.88671875" defaultRowHeight="14.4" x14ac:dyDescent="0.3"/>
  <cols>
    <col min="1" max="1" width="36.109375" style="4" customWidth="1"/>
    <col min="2" max="2" width="32" style="4" customWidth="1"/>
    <col min="3" max="4" width="14.33203125" style="4" bestFit="1" customWidth="1"/>
    <col min="5" max="5" width="23.109375" style="4" customWidth="1"/>
    <col min="6" max="6" width="21.77734375" style="4" bestFit="1" customWidth="1"/>
    <col min="7" max="7" width="20" style="4" customWidth="1"/>
    <col min="8" max="8" width="30.33203125" style="4" customWidth="1"/>
    <col min="9" max="9" width="30.88671875" style="4" customWidth="1"/>
    <col min="10" max="10" width="15.44140625" style="4" customWidth="1"/>
    <col min="11" max="11" width="18.44140625" style="4" customWidth="1"/>
    <col min="12" max="12" width="12.33203125" style="4" customWidth="1"/>
    <col min="13" max="13" width="6.6640625" style="4" customWidth="1"/>
    <col min="14" max="14" width="9" style="4" customWidth="1"/>
    <col min="15" max="15" width="6.5546875" style="4" customWidth="1"/>
    <col min="16" max="16" width="6.88671875" style="4" customWidth="1"/>
    <col min="17" max="17" width="8.33203125" style="4" customWidth="1"/>
    <col min="18" max="20" width="7.33203125" style="4" customWidth="1"/>
    <col min="21" max="21" width="8.33203125" style="4" customWidth="1"/>
    <col min="22" max="25" width="7.6640625" style="4" customWidth="1"/>
    <col min="26" max="26" width="8.33203125" style="4" customWidth="1"/>
    <col min="27" max="27" width="13.6640625" style="4" customWidth="1"/>
    <col min="28" max="29" width="19.33203125" style="4" customWidth="1"/>
    <col min="30" max="31" width="7.6640625" style="4" customWidth="1"/>
    <col min="32" max="32" width="10.33203125" style="4" customWidth="1"/>
    <col min="33" max="33" width="13.44140625" style="4" customWidth="1"/>
    <col min="34" max="34" width="71.5546875" style="4" customWidth="1"/>
    <col min="35" max="16384" width="8.88671875" style="4"/>
  </cols>
  <sheetData>
    <row r="1" spans="1:10" ht="33.6" x14ac:dyDescent="0.65">
      <c r="D1" s="5" t="str">
        <f ca="1">MID(CELL("filename",A1),FIND("]",CELL("filename",A1))+1,255)</f>
        <v>Format</v>
      </c>
      <c r="F1" s="21" t="s">
        <v>13</v>
      </c>
    </row>
    <row r="3" spans="1:10" x14ac:dyDescent="0.3">
      <c r="A3" s="1" t="s">
        <v>21</v>
      </c>
      <c r="B3" s="1" t="s">
        <v>22</v>
      </c>
      <c r="C3" s="1" t="s">
        <v>0</v>
      </c>
      <c r="D3" s="1" t="s">
        <v>23</v>
      </c>
    </row>
    <row r="4" spans="1:10" x14ac:dyDescent="0.3">
      <c r="A4" s="9"/>
      <c r="B4" s="10"/>
      <c r="C4" s="10"/>
      <c r="D4" s="50"/>
      <c r="E4" s="11"/>
    </row>
    <row r="5" spans="1:10" x14ac:dyDescent="0.3">
      <c r="A5" s="1" t="s">
        <v>9</v>
      </c>
      <c r="B5" s="12"/>
      <c r="C5" s="3"/>
      <c r="D5" s="3"/>
      <c r="E5" s="3"/>
      <c r="F5" s="3"/>
      <c r="G5" s="3"/>
      <c r="H5" s="3"/>
      <c r="I5" s="3"/>
      <c r="J5" s="3"/>
    </row>
    <row r="6" spans="1:10" x14ac:dyDescent="0.3">
      <c r="A6" s="47" t="s">
        <v>10</v>
      </c>
      <c r="B6" s="13"/>
      <c r="C6" s="14"/>
      <c r="D6" s="14"/>
      <c r="E6" s="14"/>
    </row>
    <row r="7" spans="1:10" x14ac:dyDescent="0.3">
      <c r="A7" s="47" t="s">
        <v>3</v>
      </c>
      <c r="B7" s="13"/>
      <c r="C7" s="14"/>
      <c r="D7" s="14"/>
      <c r="E7" s="14"/>
    </row>
    <row r="8" spans="1:10" x14ac:dyDescent="0.3">
      <c r="A8" s="47" t="s">
        <v>18</v>
      </c>
      <c r="B8" s="14"/>
      <c r="D8" s="14"/>
    </row>
    <row r="9" spans="1:10" x14ac:dyDescent="0.3">
      <c r="A9" s="47" t="s">
        <v>19</v>
      </c>
      <c r="B9" s="14"/>
      <c r="D9" s="14"/>
    </row>
    <row r="10" spans="1:10" x14ac:dyDescent="0.3">
      <c r="A10" s="47" t="s">
        <v>20</v>
      </c>
      <c r="B10" s="14"/>
      <c r="D10" s="14"/>
    </row>
    <row r="11" spans="1:10" x14ac:dyDescent="0.3">
      <c r="A11" s="48" t="s">
        <v>0</v>
      </c>
      <c r="B11" s="15"/>
      <c r="C11" s="51">
        <f>SUBTOTAL(109,Table2421028[Field Width])</f>
        <v>1</v>
      </c>
      <c r="D11" s="14"/>
    </row>
    <row r="12" spans="1:10" x14ac:dyDescent="0.3">
      <c r="A12" s="16" t="s">
        <v>24</v>
      </c>
      <c r="B12" s="17" t="s">
        <v>25</v>
      </c>
      <c r="C12" s="18" t="s">
        <v>15</v>
      </c>
      <c r="D12" s="18" t="s">
        <v>12</v>
      </c>
      <c r="E12" s="18" t="s">
        <v>22</v>
      </c>
      <c r="F12" s="2" t="s">
        <v>31</v>
      </c>
      <c r="G12" s="2" t="s">
        <v>16</v>
      </c>
      <c r="H12" t="s">
        <v>17</v>
      </c>
      <c r="I12" t="s">
        <v>3</v>
      </c>
      <c r="J12" s="28" t="s">
        <v>27</v>
      </c>
    </row>
    <row r="13" spans="1:10" x14ac:dyDescent="0.3">
      <c r="A13" s="19"/>
      <c r="B13" s="20">
        <v>1</v>
      </c>
      <c r="C13" s="49"/>
      <c r="D13" s="20" t="s">
        <v>79</v>
      </c>
      <c r="E13" s="20">
        <v>0</v>
      </c>
      <c r="F13" s="19" t="s">
        <v>81</v>
      </c>
      <c r="G13" s="8"/>
      <c r="H13" s="8"/>
      <c r="I13" s="8"/>
      <c r="J13" s="8"/>
    </row>
    <row r="14" spans="1:10" x14ac:dyDescent="0.3">
      <c r="A14" s="29"/>
      <c r="B14" s="26"/>
      <c r="C14" s="26"/>
      <c r="D14" s="31"/>
      <c r="E14" s="30"/>
      <c r="F14" s="31"/>
      <c r="G14" s="26"/>
      <c r="H14" s="28"/>
    </row>
    <row r="15" spans="1:10" x14ac:dyDescent="0.3">
      <c r="A15" s="29"/>
      <c r="B15" s="26"/>
      <c r="C15" s="26"/>
      <c r="D15" s="31"/>
      <c r="E15" s="30"/>
      <c r="F15" s="31"/>
      <c r="G15" s="26"/>
      <c r="H15" s="28"/>
    </row>
    <row r="16" spans="1:10" x14ac:dyDescent="0.3">
      <c r="A16" s="29"/>
      <c r="B16" s="26"/>
      <c r="C16" s="26"/>
      <c r="D16" s="30"/>
      <c r="E16" s="30"/>
      <c r="F16" s="31"/>
      <c r="G16" s="26"/>
      <c r="H16" s="28"/>
    </row>
    <row r="17" spans="1:8" x14ac:dyDescent="0.3">
      <c r="A17" s="29"/>
      <c r="B17" s="26"/>
      <c r="C17" s="26"/>
      <c r="D17" s="30"/>
      <c r="E17" s="30"/>
      <c r="F17" s="31"/>
      <c r="G17" s="26"/>
      <c r="H17" s="28"/>
    </row>
    <row r="18" spans="1:8" x14ac:dyDescent="0.3">
      <c r="A18" s="6" t="s">
        <v>30</v>
      </c>
    </row>
    <row r="19" spans="1:8" x14ac:dyDescent="0.3">
      <c r="A19" s="1" t="s">
        <v>1</v>
      </c>
      <c r="B19" s="7" t="s">
        <v>2</v>
      </c>
      <c r="C19" s="3"/>
      <c r="D19" s="3"/>
      <c r="E19" s="3"/>
    </row>
    <row r="20" spans="1:8" x14ac:dyDescent="0.3">
      <c r="A20" s="22" t="s">
        <v>3</v>
      </c>
      <c r="B20" s="13"/>
      <c r="C20" s="14"/>
      <c r="D20" s="14"/>
      <c r="E20" s="14"/>
    </row>
    <row r="21" spans="1:8" x14ac:dyDescent="0.3">
      <c r="A21" s="22" t="s">
        <v>28</v>
      </c>
      <c r="B21" s="13"/>
      <c r="C21" s="14"/>
      <c r="D21" s="14"/>
      <c r="E21" s="14"/>
    </row>
    <row r="22" spans="1:8" x14ac:dyDescent="0.3">
      <c r="A22" s="22" t="s">
        <v>4</v>
      </c>
      <c r="B22" s="23"/>
      <c r="C22" s="14"/>
      <c r="D22" s="14"/>
      <c r="E22" s="14"/>
    </row>
    <row r="23" spans="1:8" x14ac:dyDescent="0.3">
      <c r="A23" s="22" t="s">
        <v>5</v>
      </c>
      <c r="B23" s="14"/>
      <c r="D23" s="14"/>
    </row>
    <row r="24" spans="1:8" x14ac:dyDescent="0.3">
      <c r="A24" s="22" t="s">
        <v>6</v>
      </c>
      <c r="B24" s="15"/>
      <c r="D24" s="14"/>
    </row>
    <row r="25" spans="1:8" x14ac:dyDescent="0.3">
      <c r="A25" s="22" t="s">
        <v>29</v>
      </c>
      <c r="B25" s="24"/>
      <c r="D25" s="14"/>
    </row>
    <row r="26" spans="1:8" x14ac:dyDescent="0.3">
      <c r="A26" s="16" t="s">
        <v>26</v>
      </c>
      <c r="B26" s="17" t="s">
        <v>7</v>
      </c>
      <c r="C26" s="18" t="s">
        <v>0</v>
      </c>
      <c r="D26" s="18" t="s">
        <v>8</v>
      </c>
      <c r="E26" s="18" t="s">
        <v>3</v>
      </c>
    </row>
    <row r="27" spans="1:8" x14ac:dyDescent="0.3">
      <c r="A27" s="19"/>
      <c r="B27" s="20"/>
      <c r="C27" s="25"/>
      <c r="D27" s="20"/>
      <c r="E27" s="20"/>
    </row>
  </sheetData>
  <sheetProtection selectLockedCells="1"/>
  <dataValidations count="8">
    <dataValidation type="list" allowBlank="1" showInputMessage="1" showErrorMessage="1" sqref="B24 C27 B11" xr:uid="{055897E6-E35B-4078-B197-266622633E3F}">
      <formula1>"GREEN,ORANGE,RED"</formula1>
    </dataValidation>
    <dataValidation type="list" allowBlank="1" showInputMessage="1" showErrorMessage="1" sqref="B25" xr:uid="{1E765592-ADD2-46B9-AF69-267126243D06}">
      <formula1>"cltap, user_tap, htap, taplink_tap, retime_tap, mbist_tap, wtap, reg_only, empty_slot, taplink_empty_slot"</formula1>
    </dataValidation>
    <dataValidation allowBlank="1" showInputMessage="1" showErrorMessage="1" promptTitle="Message" prompt="The cells will be autofilled based on input data (TAP Refresh). " sqref="A4:C4" xr:uid="{CA9E6DE7-DE99-4223-877F-516658C2EBFE}"/>
    <dataValidation type="list" allowBlank="1" showInputMessage="1" showErrorMessage="1" sqref="F13" xr:uid="{1AB2B60E-A804-444E-B946-5A33631D4FEB}">
      <formula1>"Hex, Dec, Bin"</formula1>
    </dataValidation>
    <dataValidation allowBlank="1" showInputMessage="1" showErrorMessage="1" promptTitle="Message" prompt="The cell will be autofilled based on input data (TAP Refresh)." sqref="D4" xr:uid="{BF3E64DB-749D-4017-A05F-7A06E1A6F7AA}"/>
    <dataValidation type="list" allowBlank="1" showInputMessage="1" showErrorMessage="1" sqref="D27" xr:uid="{FCE70DAA-E200-4F8A-86F2-493C08D10F26}">
      <formula1>indexRegChains</formula1>
    </dataValidation>
    <dataValidation allowBlank="1" showErrorMessage="1" promptTitle="Message" prompt="The cell will be autofilled based on input data (TAP Refresh)." sqref="C11" xr:uid="{06A3B8D4-8700-4789-93C6-6166E0AA2C1B}"/>
    <dataValidation type="list" allowBlank="1" showInputMessage="1" showErrorMessage="1" sqref="D13 D16:D17" xr:uid="{59C267FB-8465-4D39-A23F-741C9EAD866C}">
      <formula1>"RO,RW,RO/V,RW/V,Rsvd"</formula1>
    </dataValidation>
  </dataValidations>
  <hyperlinks>
    <hyperlink ref="F1" location="Contents!A1" display="Back to table of contents" xr:uid="{188C730E-5A4E-4ED1-9822-95CF9593AF8A}"/>
  </hyperlinks>
  <pageMargins left="0.7" right="0.7" top="0.75" bottom="0.75" header="0.3" footer="0.3"/>
  <pageSetup paperSize="9" orientation="portrait" r:id="rId1"/>
  <ignoredErrors>
    <ignoredError sqref="C11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ECC0AB-D6AF-45EA-8E30-61976900A7B4}">
          <x14:formula1>
            <xm:f>range!$A$1:$A$2</xm:f>
          </x14:formula1>
          <xm:sqref>B23</xm:sqref>
        </x14:dataValidation>
        <x14:dataValidation type="list" allowBlank="1" showInputMessage="1" showErrorMessage="1" xr:uid="{5F38A9FA-3510-4535-9C7D-E6DFDBDF1F4F}">
          <x14:formula1>
            <xm:f>'C:\Users\dravisha\Desktop\icl_gen\backup\[ICL_Generation_Tool_20.xlsm]range'!#REF!</xm:f>
          </x14:formula1>
          <xm:sqref>B8:B10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84BC6-5DE0-42E7-AA69-32F43C02F897}">
  <sheetPr codeName="Sheet8"/>
  <dimension ref="A1:D5"/>
  <sheetViews>
    <sheetView workbookViewId="0"/>
  </sheetViews>
  <sheetFormatPr defaultRowHeight="14.4" x14ac:dyDescent="0.3"/>
  <cols>
    <col min="1" max="1" width="10.33203125" bestFit="1" customWidth="1"/>
    <col min="2" max="2" width="19" bestFit="1" customWidth="1"/>
    <col min="3" max="3" width="9.77734375" bestFit="1" customWidth="1"/>
  </cols>
  <sheetData>
    <row r="1" spans="1:4" x14ac:dyDescent="0.3">
      <c r="A1" t="s">
        <v>80</v>
      </c>
      <c r="B1" t="s">
        <v>103</v>
      </c>
      <c r="C1" t="s">
        <v>101</v>
      </c>
    </row>
    <row r="2" spans="1:4" x14ac:dyDescent="0.3">
      <c r="A2" t="s">
        <v>82</v>
      </c>
      <c r="B2" t="s">
        <v>104</v>
      </c>
      <c r="C2" t="s">
        <v>102</v>
      </c>
      <c r="D2" t="s">
        <v>80</v>
      </c>
    </row>
    <row r="3" spans="1:4" x14ac:dyDescent="0.3">
      <c r="D3" t="s">
        <v>82</v>
      </c>
    </row>
    <row r="4" spans="1:4" x14ac:dyDescent="0.3">
      <c r="D4" t="s">
        <v>101</v>
      </c>
    </row>
    <row r="5" spans="1:4" x14ac:dyDescent="0.3">
      <c r="D5" t="s">
        <v>102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50F0-4AA6-4330-BB72-ADE88DB2A48F}">
  <dimension ref="A1:J31"/>
  <sheetViews>
    <sheetView workbookViewId="0"/>
  </sheetViews>
  <sheetFormatPr defaultRowHeight="14.4" outlineLevelRow="1" x14ac:dyDescent="0.3"/>
  <cols>
    <col min="1" max="1" width="36.109375" customWidth="1"/>
    <col min="2" max="2" width="32" customWidth="1"/>
    <col min="3" max="4" width="14.33203125" bestFit="1" customWidth="1"/>
    <col min="5" max="5" width="23.109375" customWidth="1"/>
    <col min="6" max="6" width="21.77734375" bestFit="1" customWidth="1"/>
    <col min="7" max="7" width="20" customWidth="1"/>
    <col min="8" max="8" width="30.33203125" customWidth="1"/>
    <col min="9" max="9" width="30.88671875" customWidth="1"/>
    <col min="10" max="10" width="15.44140625" customWidth="1"/>
  </cols>
  <sheetData>
    <row r="1" spans="1:10" ht="33.6" x14ac:dyDescent="0.65">
      <c r="D1" s="52" t="str">
        <f ca="1">MID(CELL("filename",A1),FIND("]",CELL("filename",A1))+1,255)</f>
        <v>Registers</v>
      </c>
    </row>
    <row r="5" spans="1:10" x14ac:dyDescent="0.3">
      <c r="A5" s="1" t="s">
        <v>21</v>
      </c>
      <c r="B5" s="1" t="s">
        <v>22</v>
      </c>
      <c r="C5" s="1" t="s">
        <v>0</v>
      </c>
      <c r="D5" s="1" t="s">
        <v>23</v>
      </c>
      <c r="E5" s="4"/>
      <c r="F5" s="4"/>
      <c r="G5" s="4"/>
      <c r="H5" s="4"/>
      <c r="I5" s="4"/>
      <c r="J5" s="4"/>
    </row>
    <row r="6" spans="1:10" x14ac:dyDescent="0.3">
      <c r="A6" s="9" t="s">
        <v>80</v>
      </c>
      <c r="B6" s="10" t="s">
        <v>86</v>
      </c>
      <c r="C6" s="10" t="s">
        <v>83</v>
      </c>
      <c r="D6" s="50">
        <v>32</v>
      </c>
      <c r="E6" s="11"/>
      <c r="F6" s="4"/>
      <c r="G6" s="4"/>
      <c r="H6" s="4"/>
      <c r="I6" s="4"/>
      <c r="J6" s="4"/>
    </row>
    <row r="7" spans="1:10" outlineLevel="1" x14ac:dyDescent="0.3">
      <c r="A7" s="1" t="s">
        <v>9</v>
      </c>
      <c r="B7" s="12"/>
      <c r="C7" s="3"/>
      <c r="D7" s="3"/>
      <c r="E7" s="3"/>
      <c r="F7" s="3"/>
      <c r="G7" s="3"/>
      <c r="H7" s="3"/>
      <c r="I7" s="3"/>
      <c r="J7" s="3"/>
    </row>
    <row r="8" spans="1:10" outlineLevel="1" x14ac:dyDescent="0.3">
      <c r="A8" s="47" t="s">
        <v>10</v>
      </c>
      <c r="B8" s="13" t="s">
        <v>80</v>
      </c>
      <c r="C8" s="14"/>
      <c r="D8" s="14"/>
      <c r="E8" s="14"/>
      <c r="F8" s="4"/>
      <c r="G8" s="4"/>
      <c r="H8" s="4"/>
      <c r="I8" s="4"/>
      <c r="J8" s="4"/>
    </row>
    <row r="9" spans="1:10" outlineLevel="1" x14ac:dyDescent="0.3">
      <c r="A9" s="47" t="s">
        <v>3</v>
      </c>
      <c r="B9" s="13"/>
      <c r="C9" s="14"/>
      <c r="D9" s="14"/>
      <c r="E9" s="14"/>
      <c r="F9" s="4"/>
      <c r="G9" s="4"/>
      <c r="H9" s="4"/>
      <c r="I9" s="4"/>
      <c r="J9" s="4"/>
    </row>
    <row r="10" spans="1:10" outlineLevel="1" x14ac:dyDescent="0.3">
      <c r="A10" s="47" t="s">
        <v>18</v>
      </c>
      <c r="B10" s="14"/>
      <c r="C10" s="4"/>
      <c r="D10" s="14"/>
      <c r="E10" s="4"/>
      <c r="F10" s="4"/>
      <c r="G10" s="4"/>
      <c r="H10" s="4"/>
      <c r="I10" s="4"/>
      <c r="J10" s="4"/>
    </row>
    <row r="11" spans="1:10" outlineLevel="1" x14ac:dyDescent="0.3">
      <c r="A11" s="47" t="s">
        <v>19</v>
      </c>
      <c r="B11" s="14"/>
      <c r="C11" s="4"/>
      <c r="D11" s="14"/>
      <c r="E11" s="4"/>
      <c r="F11" s="4"/>
      <c r="G11" s="4"/>
      <c r="H11" s="4"/>
      <c r="I11" s="4"/>
      <c r="J11" s="4"/>
    </row>
    <row r="12" spans="1:10" outlineLevel="1" x14ac:dyDescent="0.3">
      <c r="A12" s="47" t="s">
        <v>20</v>
      </c>
      <c r="B12" s="14"/>
      <c r="C12" s="4"/>
      <c r="D12" s="14"/>
      <c r="E12" s="4"/>
      <c r="F12" s="4"/>
      <c r="G12" s="4"/>
      <c r="H12" s="4"/>
      <c r="I12" s="4"/>
      <c r="J12" s="4"/>
    </row>
    <row r="13" spans="1:10" outlineLevel="1" x14ac:dyDescent="0.3">
      <c r="A13" s="48" t="s">
        <v>0</v>
      </c>
      <c r="B13" s="15" t="s">
        <v>83</v>
      </c>
      <c r="C13" s="51">
        <f>SUBTOTAL(109,Table24210282[Field Width])</f>
        <v>32</v>
      </c>
      <c r="D13" s="14"/>
      <c r="E13" s="4"/>
      <c r="F13" s="4"/>
      <c r="G13" s="4"/>
      <c r="H13" s="4"/>
      <c r="I13" s="4"/>
      <c r="J13" s="4"/>
    </row>
    <row r="14" spans="1:10" outlineLevel="1" x14ac:dyDescent="0.3">
      <c r="A14" s="16" t="s">
        <v>24</v>
      </c>
      <c r="B14" s="17" t="s">
        <v>25</v>
      </c>
      <c r="C14" s="18" t="s">
        <v>15</v>
      </c>
      <c r="D14" s="18" t="s">
        <v>12</v>
      </c>
      <c r="E14" s="18" t="s">
        <v>22</v>
      </c>
      <c r="F14" s="2" t="s">
        <v>31</v>
      </c>
      <c r="G14" s="2" t="s">
        <v>16</v>
      </c>
      <c r="H14" t="s">
        <v>17</v>
      </c>
      <c r="I14" t="s">
        <v>3</v>
      </c>
      <c r="J14" s="28" t="s">
        <v>27</v>
      </c>
    </row>
    <row r="15" spans="1:10" outlineLevel="1" x14ac:dyDescent="0.3">
      <c r="A15" s="19" t="s">
        <v>84</v>
      </c>
      <c r="B15" s="20">
        <v>32</v>
      </c>
      <c r="C15" s="49" t="s">
        <v>85</v>
      </c>
      <c r="D15" s="20" t="s">
        <v>79</v>
      </c>
      <c r="E15" s="20" t="str">
        <f>DEC2BIN("10")</f>
        <v>1010</v>
      </c>
      <c r="F15" s="19" t="s">
        <v>90</v>
      </c>
      <c r="G15" s="8"/>
      <c r="H15" s="8"/>
      <c r="I15" s="8"/>
      <c r="J15" s="8"/>
    </row>
    <row r="16" spans="1:10" outlineLevel="1" x14ac:dyDescent="0.3">
      <c r="A16" s="29"/>
      <c r="B16" s="26"/>
      <c r="C16" s="26"/>
      <c r="D16" s="31"/>
      <c r="E16" s="30"/>
      <c r="F16" s="31"/>
      <c r="G16" s="26"/>
      <c r="H16" s="28"/>
      <c r="I16" s="4"/>
      <c r="J16" s="4"/>
    </row>
    <row r="17" spans="1:10" x14ac:dyDescent="0.3">
      <c r="A17" s="29"/>
      <c r="B17" s="26"/>
      <c r="C17" s="26"/>
      <c r="D17" s="31"/>
      <c r="E17" s="30"/>
      <c r="F17" s="31"/>
      <c r="G17" s="26"/>
      <c r="H17" s="28"/>
      <c r="I17" s="4"/>
      <c r="J17" s="4"/>
    </row>
    <row r="19" spans="1:10" x14ac:dyDescent="0.3">
      <c r="A19" s="1" t="s">
        <v>21</v>
      </c>
      <c r="B19" s="1" t="s">
        <v>22</v>
      </c>
      <c r="C19" s="1" t="s">
        <v>0</v>
      </c>
      <c r="D19" s="1" t="s">
        <v>23</v>
      </c>
      <c r="E19" s="4"/>
      <c r="F19" s="4"/>
      <c r="G19" s="4"/>
      <c r="H19" s="4"/>
      <c r="I19" s="4"/>
      <c r="J19" s="4"/>
    </row>
    <row r="20" spans="1:10" x14ac:dyDescent="0.3">
      <c r="A20" s="9" t="s">
        <v>82</v>
      </c>
      <c r="B20" s="10" t="s">
        <v>93</v>
      </c>
      <c r="C20" s="10"/>
      <c r="D20" s="50">
        <v>8</v>
      </c>
      <c r="E20" s="11"/>
      <c r="F20" s="4"/>
      <c r="G20" s="4"/>
      <c r="H20" s="4"/>
      <c r="I20" s="4"/>
      <c r="J20" s="4"/>
    </row>
    <row r="21" spans="1:10" outlineLevel="1" x14ac:dyDescent="0.3">
      <c r="A21" s="1" t="s">
        <v>9</v>
      </c>
      <c r="B21" s="12"/>
      <c r="C21" s="3"/>
      <c r="D21" s="3"/>
      <c r="E21" s="3"/>
      <c r="F21" s="3"/>
      <c r="G21" s="3"/>
      <c r="H21" s="3"/>
      <c r="I21" s="3"/>
      <c r="J21" s="3"/>
    </row>
    <row r="22" spans="1:10" outlineLevel="1" x14ac:dyDescent="0.3">
      <c r="A22" s="47" t="s">
        <v>10</v>
      </c>
      <c r="B22" s="13" t="s">
        <v>82</v>
      </c>
      <c r="C22" s="14"/>
      <c r="D22" s="14"/>
      <c r="E22" s="14"/>
      <c r="F22" s="4"/>
      <c r="G22" s="4"/>
      <c r="H22" s="4"/>
      <c r="I22" s="4"/>
      <c r="J22" s="4"/>
    </row>
    <row r="23" spans="1:10" outlineLevel="1" x14ac:dyDescent="0.3">
      <c r="A23" s="47" t="s">
        <v>3</v>
      </c>
      <c r="B23" s="13"/>
      <c r="C23" s="14"/>
      <c r="D23" s="14"/>
      <c r="E23" s="14"/>
      <c r="F23" s="4"/>
      <c r="G23" s="4"/>
      <c r="H23" s="4"/>
      <c r="I23" s="4"/>
      <c r="J23" s="4"/>
    </row>
    <row r="24" spans="1:10" outlineLevel="1" x14ac:dyDescent="0.3">
      <c r="A24" s="47" t="s">
        <v>18</v>
      </c>
      <c r="B24" s="14"/>
      <c r="C24" s="4"/>
      <c r="D24" s="14"/>
      <c r="E24" s="4"/>
      <c r="F24" s="4"/>
      <c r="G24" s="4"/>
      <c r="H24" s="4"/>
      <c r="I24" s="4"/>
      <c r="J24" s="4"/>
    </row>
    <row r="25" spans="1:10" outlineLevel="1" x14ac:dyDescent="0.3">
      <c r="A25" s="47" t="s">
        <v>19</v>
      </c>
      <c r="B25" s="14"/>
      <c r="C25" s="4"/>
      <c r="D25" s="14"/>
      <c r="E25" s="4"/>
      <c r="F25" s="4"/>
      <c r="G25" s="4"/>
      <c r="H25" s="4"/>
      <c r="I25" s="4"/>
      <c r="J25" s="4"/>
    </row>
    <row r="26" spans="1:10" outlineLevel="1" x14ac:dyDescent="0.3">
      <c r="A26" s="47" t="s">
        <v>20</v>
      </c>
      <c r="B26" s="14"/>
      <c r="C26" s="4"/>
      <c r="D26" s="14"/>
      <c r="E26" s="4"/>
      <c r="F26" s="4"/>
      <c r="G26" s="4"/>
      <c r="H26" s="4"/>
      <c r="I26" s="4"/>
      <c r="J26" s="4"/>
    </row>
    <row r="27" spans="1:10" outlineLevel="1" x14ac:dyDescent="0.3">
      <c r="A27" s="48" t="s">
        <v>0</v>
      </c>
      <c r="B27" s="15"/>
      <c r="C27" s="51">
        <f>SUBTOTAL(109,Table24210284[Field Width])</f>
        <v>8</v>
      </c>
      <c r="D27" s="14"/>
      <c r="E27" s="4"/>
      <c r="F27" s="4"/>
      <c r="G27" s="4"/>
      <c r="H27" s="4"/>
      <c r="I27" s="4"/>
      <c r="J27" s="4"/>
    </row>
    <row r="28" spans="1:10" outlineLevel="1" x14ac:dyDescent="0.3">
      <c r="A28" s="16" t="s">
        <v>24</v>
      </c>
      <c r="B28" s="17" t="s">
        <v>25</v>
      </c>
      <c r="C28" s="18" t="s">
        <v>15</v>
      </c>
      <c r="D28" s="18" t="s">
        <v>12</v>
      </c>
      <c r="E28" s="18" t="s">
        <v>22</v>
      </c>
      <c r="F28" s="2" t="s">
        <v>31</v>
      </c>
      <c r="G28" s="2" t="s">
        <v>16</v>
      </c>
      <c r="H28" t="s">
        <v>17</v>
      </c>
      <c r="I28" t="s">
        <v>3</v>
      </c>
      <c r="J28" s="28" t="s">
        <v>27</v>
      </c>
    </row>
    <row r="29" spans="1:10" outlineLevel="1" x14ac:dyDescent="0.3">
      <c r="A29" s="19" t="s">
        <v>87</v>
      </c>
      <c r="B29" s="20">
        <v>1</v>
      </c>
      <c r="C29" s="49" t="s">
        <v>91</v>
      </c>
      <c r="D29" s="20" t="s">
        <v>79</v>
      </c>
      <c r="E29" s="20" t="str">
        <f>DEC2BIN("0")</f>
        <v>0</v>
      </c>
      <c r="F29" s="19" t="s">
        <v>90</v>
      </c>
      <c r="G29" s="8"/>
      <c r="H29" s="8"/>
      <c r="I29" s="8"/>
      <c r="J29" s="8"/>
    </row>
    <row r="30" spans="1:10" outlineLevel="1" x14ac:dyDescent="0.3">
      <c r="A30" s="53" t="s">
        <v>88</v>
      </c>
      <c r="B30" s="54">
        <v>7</v>
      </c>
      <c r="C30" s="55" t="s">
        <v>92</v>
      </c>
      <c r="D30" s="56" t="s">
        <v>89</v>
      </c>
      <c r="E30" s="56" t="str">
        <f>DEC2BIN("12")</f>
        <v>1100</v>
      </c>
      <c r="F30" s="57" t="s">
        <v>90</v>
      </c>
      <c r="G30" s="54"/>
      <c r="H30" s="54"/>
      <c r="I30" s="54"/>
      <c r="J30" s="54"/>
    </row>
    <row r="31" spans="1:10" outlineLevel="1" x14ac:dyDescent="0.3">
      <c r="A31" s="29"/>
      <c r="B31" s="26"/>
      <c r="C31" s="26"/>
      <c r="D31" s="31"/>
      <c r="E31" s="30"/>
      <c r="F31" s="31"/>
      <c r="G31" s="26"/>
      <c r="H31" s="28"/>
      <c r="I31" s="4"/>
      <c r="J31" s="4"/>
    </row>
  </sheetData>
  <dataValidations count="6">
    <dataValidation type="list" allowBlank="1" showInputMessage="1" showErrorMessage="1" sqref="D15 D29:D30" xr:uid="{E7B33AF7-28DD-4922-B6E8-E164D6A47950}">
      <formula1>"RO,RW,RO/V,RW/V,Rsvd"</formula1>
    </dataValidation>
    <dataValidation allowBlank="1" showErrorMessage="1" promptTitle="Message" prompt="The cell will be autofilled based on input data (TAP Refresh)." sqref="C13 C27" xr:uid="{813C78EF-CCC9-409C-B3CE-8090338261F0}"/>
    <dataValidation allowBlank="1" showInputMessage="1" showErrorMessage="1" promptTitle="Message" prompt="The cell will be autofilled based on input data (TAP Refresh)." sqref="D6 D20" xr:uid="{7814408E-C08F-450A-9754-EDC814BB1F60}"/>
    <dataValidation type="list" allowBlank="1" showInputMessage="1" showErrorMessage="1" sqref="F15 F29:F30" xr:uid="{AC5896B7-9C97-47CA-9460-67ECB901EC2E}">
      <formula1>"Hex, Dec, Bin"</formula1>
    </dataValidation>
    <dataValidation allowBlank="1" showInputMessage="1" showErrorMessage="1" promptTitle="Message" prompt="The cells will be autofilled based on input data (TAP Refresh). " sqref="A6:C6 A20:C20" xr:uid="{D6695376-5A61-44A7-ADE4-D3A00CFF5F04}"/>
    <dataValidation type="list" allowBlank="1" showInputMessage="1" showErrorMessage="1" sqref="B13 B27" xr:uid="{AD6FC7C1-0CAE-4BFC-BE13-E3FB69EA00AE}">
      <formula1>"GREEN,ORANGE,RED"</formula1>
    </dataValidation>
  </dataValidations>
  <pageMargins left="0.7" right="0.7" top="0.75" bottom="0.75" header="0.3" footer="0.3"/>
  <pageSetup orientation="portrait" r:id="rId1"/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A0941E-BBFF-459F-BBE3-B6415E5685E4}">
          <x14:formula1>
            <xm:f>'C:\Users\dravisha\Desktop\icl_gen\backup\[ICL_Generation_Tool_20.xlsm]range'!#REF!</xm:f>
          </x14:formula1>
          <xm:sqref>B10:B12 B24:B26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51C50-7F07-4986-9DA0-7756BE073693}">
  <dimension ref="A1:H21"/>
  <sheetViews>
    <sheetView workbookViewId="0"/>
  </sheetViews>
  <sheetFormatPr defaultRowHeight="14.4" outlineLevelRow="1" x14ac:dyDescent="0.3"/>
  <sheetData>
    <row r="1" spans="1:8" ht="33.6" x14ac:dyDescent="0.65">
      <c r="D1" s="52" t="str">
        <f ca="1">MID(CELL("filename",A1),FIND("]",CELL("filename",A1))+1,255)</f>
        <v>Chains</v>
      </c>
    </row>
    <row r="3" spans="1:8" x14ac:dyDescent="0.3">
      <c r="A3" s="39" t="s">
        <v>34</v>
      </c>
      <c r="B3" s="40" t="s">
        <v>35</v>
      </c>
      <c r="C3" s="40" t="s">
        <v>36</v>
      </c>
      <c r="D3" s="40" t="s">
        <v>37</v>
      </c>
      <c r="E3" s="40" t="s">
        <v>38</v>
      </c>
      <c r="F3" s="40" t="s">
        <v>39</v>
      </c>
      <c r="G3" s="40" t="s">
        <v>40</v>
      </c>
      <c r="H3" s="40" t="s">
        <v>41</v>
      </c>
    </row>
    <row r="7" spans="1:8" x14ac:dyDescent="0.3">
      <c r="A7" s="32" t="s">
        <v>101</v>
      </c>
      <c r="B7" s="33"/>
    </row>
    <row r="8" spans="1:8" outlineLevel="1" x14ac:dyDescent="0.3">
      <c r="A8" s="34" t="s">
        <v>32</v>
      </c>
    </row>
    <row r="9" spans="1:8" outlineLevel="1" x14ac:dyDescent="0.3">
      <c r="A9" s="35" t="s">
        <v>94</v>
      </c>
      <c r="B9" s="36" t="s">
        <v>80</v>
      </c>
    </row>
    <row r="10" spans="1:8" outlineLevel="1" x14ac:dyDescent="0.3">
      <c r="A10" s="35" t="s">
        <v>95</v>
      </c>
      <c r="B10" s="36" t="s">
        <v>82</v>
      </c>
    </row>
    <row r="11" spans="1:8" outlineLevel="1" x14ac:dyDescent="0.3">
      <c r="C11" s="37" t="s">
        <v>96</v>
      </c>
      <c r="D11" s="38" t="s">
        <v>97</v>
      </c>
    </row>
    <row r="12" spans="1:8" outlineLevel="1" x14ac:dyDescent="0.3">
      <c r="E12" s="37" t="s">
        <v>98</v>
      </c>
      <c r="F12" s="38" t="s">
        <v>97</v>
      </c>
    </row>
    <row r="13" spans="1:8" outlineLevel="1" x14ac:dyDescent="0.3">
      <c r="A13" s="34" t="s">
        <v>33</v>
      </c>
      <c r="B13" s="33"/>
    </row>
    <row r="17" spans="1:2" x14ac:dyDescent="0.3">
      <c r="A17" s="32" t="s">
        <v>102</v>
      </c>
      <c r="B17" s="33"/>
    </row>
    <row r="18" spans="1:2" outlineLevel="1" x14ac:dyDescent="0.3">
      <c r="A18" s="34" t="s">
        <v>32</v>
      </c>
    </row>
    <row r="19" spans="1:2" outlineLevel="1" x14ac:dyDescent="0.3">
      <c r="A19" s="35" t="s">
        <v>99</v>
      </c>
      <c r="B19" s="36" t="s">
        <v>80</v>
      </c>
    </row>
    <row r="20" spans="1:2" outlineLevel="1" x14ac:dyDescent="0.3">
      <c r="A20" s="35" t="s">
        <v>100</v>
      </c>
      <c r="B20" s="36" t="s">
        <v>82</v>
      </c>
    </row>
    <row r="21" spans="1:2" outlineLevel="1" x14ac:dyDescent="0.3">
      <c r="A21" s="34" t="s">
        <v>33</v>
      </c>
      <c r="B21" s="33"/>
    </row>
  </sheetData>
  <dataValidations count="1">
    <dataValidation type="list" allowBlank="1" showInputMessage="1" showErrorMessage="1" sqref="B9:B10 B19:B20" xr:uid="{1C401257-382E-43B6-9165-CD7C9A20933A}">
      <formula1>indexReg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20580-0EC4-4B8B-A0B8-B08C2B38B0C2}">
  <dimension ref="A1:F29"/>
  <sheetViews>
    <sheetView workbookViewId="0"/>
  </sheetViews>
  <sheetFormatPr defaultRowHeight="14.4" outlineLevelRow="1" x14ac:dyDescent="0.3"/>
  <cols>
    <col min="1" max="1" width="36.109375" customWidth="1"/>
    <col min="2" max="2" width="32" customWidth="1"/>
    <col min="3" max="4" width="14.33203125" bestFit="1" customWidth="1"/>
    <col min="5" max="5" width="23.109375" customWidth="1"/>
    <col min="6" max="6" width="21.77734375" bestFit="1" customWidth="1"/>
  </cols>
  <sheetData>
    <row r="1" spans="1:6" ht="33.6" x14ac:dyDescent="0.65">
      <c r="D1" s="52" t="str">
        <f ca="1">MID(CELL("filename",A1),FIND("]",CELL("filename",A1))+1,255)</f>
        <v>TAPs</v>
      </c>
    </row>
    <row r="5" spans="1:6" x14ac:dyDescent="0.3">
      <c r="A5" s="6" t="s">
        <v>103</v>
      </c>
      <c r="B5" s="4"/>
      <c r="C5" s="4"/>
      <c r="D5" s="4"/>
      <c r="E5" s="4"/>
      <c r="F5" s="4"/>
    </row>
    <row r="6" spans="1:6" outlineLevel="1" x14ac:dyDescent="0.3">
      <c r="A6" s="1" t="s">
        <v>1</v>
      </c>
      <c r="B6" s="7" t="s">
        <v>2</v>
      </c>
      <c r="C6" s="3"/>
      <c r="D6" s="3"/>
      <c r="E6" s="3"/>
      <c r="F6" s="4"/>
    </row>
    <row r="7" spans="1:6" outlineLevel="1" x14ac:dyDescent="0.3">
      <c r="A7" s="22" t="s">
        <v>3</v>
      </c>
      <c r="B7" s="13"/>
      <c r="C7" s="14"/>
      <c r="D7" s="14"/>
      <c r="E7" s="14"/>
      <c r="F7" s="4"/>
    </row>
    <row r="8" spans="1:6" outlineLevel="1" x14ac:dyDescent="0.3">
      <c r="A8" s="22" t="s">
        <v>28</v>
      </c>
      <c r="B8" s="13"/>
      <c r="C8" s="14"/>
      <c r="D8" s="14"/>
      <c r="E8" s="14"/>
      <c r="F8" s="4"/>
    </row>
    <row r="9" spans="1:6" outlineLevel="1" x14ac:dyDescent="0.3">
      <c r="A9" s="22" t="s">
        <v>4</v>
      </c>
      <c r="B9" s="23"/>
      <c r="C9" s="14"/>
      <c r="D9" s="14"/>
      <c r="E9" s="14"/>
      <c r="F9" s="4"/>
    </row>
    <row r="10" spans="1:6" outlineLevel="1" x14ac:dyDescent="0.3">
      <c r="A10" s="22" t="s">
        <v>5</v>
      </c>
      <c r="B10" s="14"/>
      <c r="C10" s="4"/>
      <c r="D10" s="14"/>
      <c r="E10" s="4"/>
      <c r="F10" s="4"/>
    </row>
    <row r="11" spans="1:6" outlineLevel="1" x14ac:dyDescent="0.3">
      <c r="A11" s="22" t="s">
        <v>6</v>
      </c>
      <c r="B11" s="15"/>
      <c r="C11" s="4"/>
      <c r="D11" s="14"/>
      <c r="E11" s="4"/>
      <c r="F11" s="4"/>
    </row>
    <row r="12" spans="1:6" outlineLevel="1" x14ac:dyDescent="0.3">
      <c r="A12" s="22" t="s">
        <v>29</v>
      </c>
      <c r="B12" s="24"/>
      <c r="C12" s="4"/>
      <c r="D12" s="14"/>
      <c r="E12" s="4"/>
      <c r="F12" s="4"/>
    </row>
    <row r="13" spans="1:6" outlineLevel="1" x14ac:dyDescent="0.3">
      <c r="A13" s="16" t="s">
        <v>26</v>
      </c>
      <c r="B13" s="17" t="s">
        <v>7</v>
      </c>
      <c r="C13" s="18" t="s">
        <v>0</v>
      </c>
      <c r="D13" s="18" t="s">
        <v>8</v>
      </c>
      <c r="E13" s="18" t="s">
        <v>3</v>
      </c>
      <c r="F13" s="4"/>
    </row>
    <row r="14" spans="1:6" outlineLevel="1" x14ac:dyDescent="0.3">
      <c r="A14" s="19"/>
      <c r="B14" s="20"/>
      <c r="C14" s="25"/>
      <c r="D14" s="20" t="s">
        <v>80</v>
      </c>
      <c r="E14" s="20"/>
      <c r="F14" s="4"/>
    </row>
    <row r="15" spans="1:6" x14ac:dyDescent="0.3">
      <c r="A15" s="4"/>
      <c r="B15" s="4"/>
      <c r="C15" s="4"/>
      <c r="D15" s="4"/>
      <c r="E15" s="4"/>
      <c r="F15" s="4"/>
    </row>
    <row r="16" spans="1:6" x14ac:dyDescent="0.3">
      <c r="A16" s="4"/>
      <c r="B16" s="4"/>
      <c r="C16" s="4"/>
      <c r="D16" s="4"/>
      <c r="E16" s="4"/>
      <c r="F16" s="4"/>
    </row>
    <row r="18" spans="1:6" x14ac:dyDescent="0.3">
      <c r="A18" s="6" t="s">
        <v>104</v>
      </c>
      <c r="B18" s="4"/>
      <c r="C18" s="4"/>
      <c r="D18" s="4"/>
      <c r="E18" s="4"/>
      <c r="F18" s="4"/>
    </row>
    <row r="19" spans="1:6" outlineLevel="1" x14ac:dyDescent="0.3">
      <c r="A19" s="1" t="s">
        <v>1</v>
      </c>
      <c r="B19" s="7" t="s">
        <v>2</v>
      </c>
      <c r="C19" s="3"/>
      <c r="D19" s="3"/>
      <c r="E19" s="3"/>
      <c r="F19" s="4"/>
    </row>
    <row r="20" spans="1:6" outlineLevel="1" x14ac:dyDescent="0.3">
      <c r="A20" s="22" t="s">
        <v>3</v>
      </c>
      <c r="B20" s="13"/>
      <c r="C20" s="14"/>
      <c r="D20" s="14"/>
      <c r="E20" s="14"/>
      <c r="F20" s="4"/>
    </row>
    <row r="21" spans="1:6" outlineLevel="1" x14ac:dyDescent="0.3">
      <c r="A21" s="22" t="s">
        <v>28</v>
      </c>
      <c r="B21" s="13"/>
      <c r="C21" s="14"/>
      <c r="D21" s="14"/>
      <c r="E21" s="14"/>
      <c r="F21" s="4"/>
    </row>
    <row r="22" spans="1:6" outlineLevel="1" x14ac:dyDescent="0.3">
      <c r="A22" s="22" t="s">
        <v>4</v>
      </c>
      <c r="B22" s="23"/>
      <c r="C22" s="14"/>
      <c r="D22" s="14"/>
      <c r="E22" s="14"/>
      <c r="F22" s="4"/>
    </row>
    <row r="23" spans="1:6" outlineLevel="1" x14ac:dyDescent="0.3">
      <c r="A23" s="22" t="s">
        <v>5</v>
      </c>
      <c r="B23" s="14"/>
      <c r="C23" s="4"/>
      <c r="D23" s="14"/>
      <c r="E23" s="4"/>
      <c r="F23" s="4"/>
    </row>
    <row r="24" spans="1:6" outlineLevel="1" x14ac:dyDescent="0.3">
      <c r="A24" s="22" t="s">
        <v>6</v>
      </c>
      <c r="B24" s="15"/>
      <c r="C24" s="4"/>
      <c r="D24" s="14"/>
      <c r="E24" s="4"/>
      <c r="F24" s="4"/>
    </row>
    <row r="25" spans="1:6" outlineLevel="1" x14ac:dyDescent="0.3">
      <c r="A25" s="22" t="s">
        <v>29</v>
      </c>
      <c r="B25" s="24"/>
      <c r="C25" s="4"/>
      <c r="D25" s="14"/>
      <c r="E25" s="4"/>
      <c r="F25" s="4"/>
    </row>
    <row r="26" spans="1:6" outlineLevel="1" x14ac:dyDescent="0.3">
      <c r="A26" s="16" t="s">
        <v>26</v>
      </c>
      <c r="B26" s="17" t="s">
        <v>7</v>
      </c>
      <c r="C26" s="18" t="s">
        <v>0</v>
      </c>
      <c r="D26" s="18" t="s">
        <v>8</v>
      </c>
      <c r="E26" s="18" t="s">
        <v>3</v>
      </c>
      <c r="F26" s="4"/>
    </row>
    <row r="27" spans="1:6" outlineLevel="1" x14ac:dyDescent="0.3">
      <c r="A27" s="19"/>
      <c r="B27" s="20"/>
      <c r="C27" s="25"/>
      <c r="D27" s="20" t="s">
        <v>101</v>
      </c>
      <c r="E27" s="20"/>
      <c r="F27" s="4"/>
    </row>
    <row r="28" spans="1:6" x14ac:dyDescent="0.3">
      <c r="A28" s="4"/>
      <c r="B28" s="4"/>
      <c r="C28" s="4"/>
      <c r="D28" s="4"/>
      <c r="E28" s="4"/>
      <c r="F28" s="4"/>
    </row>
    <row r="29" spans="1:6" x14ac:dyDescent="0.3">
      <c r="A29" s="4"/>
      <c r="B29" s="4"/>
      <c r="C29" s="4"/>
      <c r="D29" s="4"/>
      <c r="E29" s="4"/>
      <c r="F29" s="4"/>
    </row>
  </sheetData>
  <dataValidations count="3">
    <dataValidation type="list" allowBlank="1" showInputMessage="1" showErrorMessage="1" sqref="D14 D27" xr:uid="{1376FB61-B8CE-48E1-A29E-C9A98C8C7B9B}">
      <formula1>indexRegChains</formula1>
    </dataValidation>
    <dataValidation type="list" allowBlank="1" showInputMessage="1" showErrorMessage="1" sqref="B12 B25" xr:uid="{1CF0D478-931B-4DFB-A4F3-DA0D2C3A2AA3}">
      <formula1>"cltap, user_tap, htap, taplink_tap, retime_tap, mbist_tap, wtap, reg_only, empty_slot, taplink_empty_slot"</formula1>
    </dataValidation>
    <dataValidation type="list" allowBlank="1" showInputMessage="1" showErrorMessage="1" sqref="B11 C14 B24 C27" xr:uid="{A6C8A1DF-7EB0-4BEB-95DB-468A5D18A7AB}">
      <formula1>"GREEN,ORANGE,RED"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1F2DE00-E52F-4F8F-A3D1-873397B2A723}">
          <x14:formula1>
            <xm:f>range!$A$1:$A$2</xm:f>
          </x14:formula1>
          <xm:sqref>B10 B23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AEAC9-4BDA-40A7-9E40-A501223BCC57}">
  <dimension ref="A1:J26"/>
  <sheetViews>
    <sheetView workbookViewId="0">
      <selection activeCell="B9" sqref="B9"/>
    </sheetView>
  </sheetViews>
  <sheetFormatPr defaultRowHeight="14.4" x14ac:dyDescent="0.3"/>
  <cols>
    <col min="1" max="1" width="26.44140625" bestFit="1" customWidth="1"/>
    <col min="2" max="2" width="19.77734375" customWidth="1"/>
    <col min="3" max="3" width="19.88671875" bestFit="1" customWidth="1"/>
    <col min="4" max="4" width="12.77734375" bestFit="1" customWidth="1"/>
    <col min="5" max="5" width="10.33203125" bestFit="1" customWidth="1"/>
    <col min="6" max="6" width="19" bestFit="1" customWidth="1"/>
    <col min="7" max="7" width="12.6640625" bestFit="1" customWidth="1"/>
    <col min="8" max="8" width="8.44140625" bestFit="1" customWidth="1"/>
    <col min="9" max="9" width="7.33203125" bestFit="1" customWidth="1"/>
    <col min="10" max="10" width="27.21875" customWidth="1"/>
  </cols>
  <sheetData>
    <row r="1" spans="1:10" ht="33.6" x14ac:dyDescent="0.65">
      <c r="D1" s="52" t="str">
        <f ca="1">MID(CELL("filename",A1),FIND("]",CELL("filename",A1))+1,255)</f>
        <v>Tops</v>
      </c>
    </row>
    <row r="3" spans="1:10" x14ac:dyDescent="0.3">
      <c r="A3" s="41" t="s">
        <v>43</v>
      </c>
    </row>
    <row r="4" spans="1:10" x14ac:dyDescent="0.3">
      <c r="A4" s="43" t="s">
        <v>44</v>
      </c>
      <c r="B4" s="44" t="s">
        <v>45</v>
      </c>
      <c r="C4" s="45" t="s">
        <v>0</v>
      </c>
      <c r="D4" s="45" t="s">
        <v>12</v>
      </c>
      <c r="E4" s="45" t="s">
        <v>46</v>
      </c>
      <c r="F4" s="46" t="s">
        <v>47</v>
      </c>
      <c r="G4" s="46" t="s">
        <v>48</v>
      </c>
      <c r="H4" t="s">
        <v>49</v>
      </c>
      <c r="I4" s="28" t="s">
        <v>50</v>
      </c>
      <c r="J4" s="28" t="s">
        <v>3</v>
      </c>
    </row>
    <row r="5" spans="1:10" x14ac:dyDescent="0.3">
      <c r="A5" s="19"/>
      <c r="B5" s="20"/>
      <c r="C5" s="25"/>
      <c r="D5" s="20"/>
      <c r="E5" s="20"/>
      <c r="F5" s="19"/>
      <c r="G5" s="8"/>
      <c r="H5" s="8"/>
      <c r="I5" s="27"/>
      <c r="J5" s="27"/>
    </row>
    <row r="7" spans="1:10" x14ac:dyDescent="0.3">
      <c r="A7" s="41" t="s">
        <v>51</v>
      </c>
    </row>
    <row r="8" spans="1:10" x14ac:dyDescent="0.3">
      <c r="A8" s="43" t="s">
        <v>44</v>
      </c>
      <c r="B8" s="44" t="s">
        <v>45</v>
      </c>
      <c r="C8" s="45" t="s">
        <v>0</v>
      </c>
      <c r="D8" s="45" t="s">
        <v>12</v>
      </c>
      <c r="E8" s="45" t="s">
        <v>46</v>
      </c>
      <c r="F8" s="46" t="s">
        <v>47</v>
      </c>
      <c r="G8" s="46" t="s">
        <v>48</v>
      </c>
      <c r="H8" t="s">
        <v>49</v>
      </c>
      <c r="I8" s="28" t="s">
        <v>50</v>
      </c>
      <c r="J8" s="28" t="s">
        <v>3</v>
      </c>
    </row>
    <row r="9" spans="1:10" x14ac:dyDescent="0.3">
      <c r="A9" s="19"/>
      <c r="B9" s="20"/>
      <c r="C9" s="25"/>
      <c r="D9" s="20"/>
      <c r="E9" s="20"/>
      <c r="F9" s="19"/>
      <c r="G9" s="8"/>
      <c r="H9" s="8"/>
      <c r="I9" s="27"/>
      <c r="J9" s="27"/>
    </row>
    <row r="11" spans="1:10" x14ac:dyDescent="0.3">
      <c r="A11" s="41" t="s">
        <v>52</v>
      </c>
    </row>
    <row r="12" spans="1:10" x14ac:dyDescent="0.3">
      <c r="A12" s="43" t="s">
        <v>53</v>
      </c>
      <c r="B12" s="44" t="s">
        <v>54</v>
      </c>
      <c r="C12" s="45" t="s">
        <v>55</v>
      </c>
      <c r="D12" s="45" t="s">
        <v>56</v>
      </c>
      <c r="E12" s="45" t="s">
        <v>57</v>
      </c>
      <c r="F12" s="46" t="s">
        <v>58</v>
      </c>
      <c r="G12" s="46" t="s">
        <v>59</v>
      </c>
    </row>
    <row r="13" spans="1:10" x14ac:dyDescent="0.3">
      <c r="A13" s="8"/>
      <c r="B13" s="20"/>
      <c r="C13" s="20"/>
      <c r="D13" s="8"/>
      <c r="E13" s="20"/>
      <c r="F13" s="19"/>
      <c r="G13" s="8"/>
    </row>
    <row r="15" spans="1:10" x14ac:dyDescent="0.3">
      <c r="A15" s="41" t="s">
        <v>60</v>
      </c>
    </row>
    <row r="16" spans="1:10" x14ac:dyDescent="0.3">
      <c r="A16" s="43" t="s">
        <v>54</v>
      </c>
      <c r="B16" s="44" t="s">
        <v>55</v>
      </c>
      <c r="C16" s="45" t="s">
        <v>0</v>
      </c>
      <c r="D16" s="45" t="s">
        <v>61</v>
      </c>
      <c r="E16" s="45" t="s">
        <v>31</v>
      </c>
      <c r="F16" s="46" t="s">
        <v>62</v>
      </c>
      <c r="G16" s="46" t="s">
        <v>3</v>
      </c>
    </row>
    <row r="17" spans="1:7" x14ac:dyDescent="0.3">
      <c r="A17" s="19"/>
      <c r="B17" s="20"/>
      <c r="C17" s="25"/>
      <c r="D17" s="20"/>
      <c r="E17" s="20"/>
      <c r="F17" s="19"/>
      <c r="G17" s="8"/>
    </row>
    <row r="19" spans="1:7" x14ac:dyDescent="0.3">
      <c r="A19" s="42" t="s">
        <v>63</v>
      </c>
    </row>
    <row r="20" spans="1:7" x14ac:dyDescent="0.3">
      <c r="A20" s="43" t="s">
        <v>54</v>
      </c>
      <c r="B20" s="44" t="s">
        <v>55</v>
      </c>
      <c r="C20" s="45" t="s">
        <v>0</v>
      </c>
      <c r="D20" s="45" t="s">
        <v>61</v>
      </c>
      <c r="E20" s="45" t="s">
        <v>31</v>
      </c>
      <c r="F20" s="46" t="s">
        <v>62</v>
      </c>
      <c r="G20" s="46" t="s">
        <v>3</v>
      </c>
    </row>
    <row r="21" spans="1:7" x14ac:dyDescent="0.3">
      <c r="A21" s="19"/>
      <c r="B21" s="20"/>
      <c r="C21" s="25"/>
      <c r="D21" s="20"/>
      <c r="E21" s="20"/>
      <c r="F21" s="19"/>
      <c r="G21" s="8"/>
    </row>
    <row r="23" spans="1:7" x14ac:dyDescent="0.3">
      <c r="A23" s="41" t="s">
        <v>64</v>
      </c>
    </row>
    <row r="24" spans="1:7" x14ac:dyDescent="0.3">
      <c r="A24" s="42" t="s">
        <v>63</v>
      </c>
    </row>
    <row r="25" spans="1:7" x14ac:dyDescent="0.3">
      <c r="A25" s="43" t="s">
        <v>54</v>
      </c>
      <c r="B25" s="44" t="s">
        <v>55</v>
      </c>
      <c r="C25" s="45" t="s">
        <v>65</v>
      </c>
      <c r="D25" s="45" t="s">
        <v>3</v>
      </c>
    </row>
    <row r="26" spans="1:7" x14ac:dyDescent="0.3">
      <c r="A26" s="19"/>
      <c r="B26" s="20"/>
      <c r="C26" s="20"/>
      <c r="D26" s="20"/>
    </row>
  </sheetData>
  <dataValidations count="6">
    <dataValidation type="list" allowBlank="1" showInputMessage="1" showErrorMessage="1" sqref="B9" xr:uid="{E6E89CC3-0A33-4219-BB05-65F392EEB062}">
      <formula1>indexChains</formula1>
    </dataValidation>
    <dataValidation type="list" allowBlank="1" showInputMessage="1" showErrorMessage="1" sqref="B5" xr:uid="{BAD6992D-EC86-48E2-8E00-9C9C7D72C3E8}">
      <formula1>indexTap</formula1>
    </dataValidation>
    <dataValidation type="list" allowBlank="1" showInputMessage="1" showErrorMessage="1" sqref="C5 C9 C17 C21" xr:uid="{5A6F00F6-2750-4C6C-A0EB-9835C0F0C734}">
      <formula1>"GREEN,ORANGE,RED"</formula1>
    </dataValidation>
    <dataValidation type="list" allowBlank="1" showInputMessage="1" showErrorMessage="1" sqref="D5 D9 D26 D17 D21" xr:uid="{294AF6FC-65B2-4D64-B7EE-22EFE1943DDC}">
      <formula1>"RO,RW,RO/V,RW/V,Rsvd"</formula1>
    </dataValidation>
    <dataValidation type="list" allowBlank="1" showInputMessage="1" showErrorMessage="1" sqref="D13" xr:uid="{9B4CD082-B6B8-4279-89AF-01E3B12B2267}">
      <formula1>"powergood, powergood_b, tlr_reset, tlr_reset_b,security,slvidcode"</formula1>
    </dataValidation>
    <dataValidation type="list" allowBlank="1" showInputMessage="1" showErrorMessage="1" sqref="A13" xr:uid="{3A5CE2CB-247E-40AB-9356-79AC13E24DC0}">
      <formula1>"DataInPort, ResetPort, ClockPort"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UI/my_customUI.xml><?xml version="1.0" encoding="utf-8"?>
<customUI xmlns="http://schemas.microsoft.com/office/2009/07/customui">
  <ribbon>
    <tabs>
      <tab id="first_tab" label="TAP Spec">
        <group id="group1" label="TDR">
          <button id="button1" label="TDR Definition" imageMso="QueryShowTable" size="large" onAction="TDR_DEF"/>
          <button id="button2" label="TDR Refresh" imageMso="Refresh" size="large" onAction="TAP_reg_refresh"/>
          <button id="button3" label="Expand Groups" imageMso="OutlineExpandAll" size="large" onAction="Expand_All"/>
          <button id="button4" label="Collapse Groups" imageMso="CollapseAll" size="large" onAction="Collapse_All"/>
          <button id="button5" label="Covert Reset to Hex" imageMso="CalculationOptionsMenu" size="large" onAction="ConvertToHex"/>
          <button id="button6" label="Covert Reset to Dec" imageMso="CalculationOptionsMenu" size="large" onAction="ConvertToDec"/>
          <button id="button7" label="Covert Reset to Bin" imageMso="CalculationOptionsMenu" size="large" onAction="ConvertToBin"/>
        </group>
        <group id="group2" label="Chains">
          <button id="button12" label="chain Definition" imageMso="QueryShowTable" size="large" onAction="CHAIN_DEF"/>
          <button id="button13" label="SIB TDR" imageMso="GroupDiagramStylesClassic" size="large" onAction="TDR_INSERT"/>
          <button id="button14" label="SIB PARENT" imageMso="GroupOrganizationChartStyleClassic" size="large" onAction="PARENT_INSERT"/>
          <button id="button15" label="Chain Refresh" imageMso="Refresh" size="large" onAction="chain_GroupCells"/>
          <button id="button16" label="Expand Groups" imageMso="OutlineExpandAll" size="large" onAction="Expand_All"/>
          <button id="button17" label="Collapse Groups" imageMso="CollapseAll" size="large" onAction="Collapse_All"/>
        </group>
        <group id="group3" label="TAP">
          <button id="button8" label="TAP Definition" imageMso="QueryShowTable" size="large" onAction="TAP_DEF"/>
          <button id="button9" label="TAP Refresh" imageMso="Refresh" size="large" onAction="TAP_GroupCells"/>
          <button id="button10" label="Expand Groups" imageMso="OutlineExpandAll" size="large" onAction="Expand_All"/>
          <button id="button11" label="Collapse Groups" imageMso="CollapseAll" size="large" onAction="Collapse_All"/>
        </group>
        <group id="group4" label="Tops">
          <button id="button18" label="Tops Definition" imageMso="QueryShowTable" size="large" onAction="TOP_DEF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range</vt:lpstr>
      <vt:lpstr>Parameters</vt:lpstr>
      <vt:lpstr>Format</vt:lpstr>
      <vt:lpstr>LookupList</vt:lpstr>
      <vt:lpstr>Registers</vt:lpstr>
      <vt:lpstr>Chains</vt:lpstr>
      <vt:lpstr>TAPs</vt:lpstr>
      <vt:lpstr>Tops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D, Ravishankar</dc:creator>
  <cp:keywords>CTPClassification=CTP_NT</cp:keywords>
  <cp:lastModifiedBy>D, Ravishankar</cp:lastModifiedBy>
  <dcterms:created xsi:type="dcterms:W3CDTF">2020-04-15T04:15:38Z</dcterms:created>
  <dcterms:modified xsi:type="dcterms:W3CDTF">2020-04-26T18:23:30Z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301c47f1-39aa-4262-9410-408c42f44b73</vt:lpwstr>
  </property>
  <property fmtid="{D5CDD505-2E9C-101B-9397-08002B2CF9AE}" pid="3" name="CTP_TimeStamp">
    <vt:lpwstr>2020-04-26 18:23:30Z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