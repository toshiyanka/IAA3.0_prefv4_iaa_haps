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sId5" Type="http://schemas.microsoft.com/office/2007/relationships/ui/extensibility" Target="customUI/my_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avisha\Desktop\icl_gen\"/>
    </mc:Choice>
  </mc:AlternateContent>
  <xr:revisionPtr revIDLastSave="0" documentId="13_ncr:1_{7AC11CAC-63BD-4463-8924-81BD3E2FCD06}" xr6:coauthVersionLast="44" xr6:coauthVersionMax="44" xr10:uidLastSave="{00000000-0000-0000-0000-000000000000}"/>
  <bookViews>
    <workbookView xWindow="-108" yWindow="-108" windowWidth="23256" windowHeight="12576" firstSheet="1" activeTab="1" xr2:uid="{013F9049-A21F-4D1A-8148-9417AD0A5D79}"/>
  </bookViews>
  <sheets>
    <sheet name="range" sheetId="4" state="hidden" r:id="rId1"/>
    <sheet name="Parameters" sheetId="25" r:id="rId2"/>
    <sheet name="Format" sheetId="3" state="hidden" r:id="rId3"/>
    <sheet name="LookupList" sheetId="30" state="hidden" r:id="rId4"/>
    <sheet name="Registers" sheetId="35" r:id="rId5"/>
    <sheet name="TAPs" sheetId="36" r:id="rId6"/>
    <sheet name="Chains" sheetId="38" r:id="rId7"/>
    <sheet name="TOP" sheetId="39" r:id="rId8"/>
  </sheets>
  <definedNames>
    <definedName name="indexChains">LookupList!$C$1:INDEX(LookupList!$C$1:$C$3000,SUMPRODUCT(--(LookupList!$C$1:$C$3000&lt;&gt;"")))</definedName>
    <definedName name="indexReg">LookupList!$A$1:INDEX(LookupList!$A$1:$A$3000,SUMPRODUCT(--(LookupList!$A$1:$A$3000&lt;&gt;"")))</definedName>
    <definedName name="indexRegChain">LookupList!$D$1:INDEX(LookupList!$D$1:$D$3000,SUMPRODUCT(--(LookupList!$D$1:$D$3000&lt;&gt;"")))</definedName>
    <definedName name="indexRegChains">LookupList!$D$2:INDEX(LookupList!$D$2:$D$3000,SUMPRODUCT(--(LookupList!$D$2:$D$3000&lt;&gt;"")))</definedName>
    <definedName name="indexTap">LookupList!$B$1:INDEX(LookupList!$B$1:$B$3000,SUMPRODUCT(--(LookupList!$B$1:$B$3000&lt;&gt;"")))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" i="4" l="1"/>
  <c r="D1" i="39" l="1"/>
  <c r="D1" i="38" l="1"/>
  <c r="D1" i="36" l="1"/>
  <c r="C13" i="35"/>
  <c r="D1" i="35"/>
  <c r="C11" i="3" l="1"/>
  <c r="D1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Venger, Oleg V</author>
  </authors>
  <commentList>
    <comment ref="A6" authorId="0" shapeId="0" xr:uid="{89CCDDCC-90B3-4AAC-8F03-192551651DC3}">
      <text>
        <r>
          <rPr>
            <sz val="9"/>
            <color indexed="81"/>
            <rFont val="Tahoma"/>
            <family val="2"/>
            <charset val="204"/>
          </rPr>
          <t>TDR module name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Venger, Oleg V</author>
  </authors>
  <commentList>
    <comment ref="A8" authorId="0" shapeId="0" xr:uid="{1040A723-CB48-49AC-95D1-3F66967FE47D}">
      <text>
        <r>
          <rPr>
            <sz val="9"/>
            <color indexed="81"/>
            <rFont val="Tahoma"/>
            <family val="2"/>
            <charset val="204"/>
          </rPr>
          <t>TDR module name</t>
        </r>
      </text>
    </comment>
  </commentList>
</comments>
</file>

<file path=xl/sharedStrings.xml><?xml version="1.0" encoding="utf-8"?>
<sst xmlns="http://schemas.openxmlformats.org/spreadsheetml/2006/main" count="325" uniqueCount="138">
  <si>
    <t>Security</t>
  </si>
  <si>
    <t>Parameter</t>
  </si>
  <si>
    <t>Value</t>
  </si>
  <si>
    <t>Description</t>
  </si>
  <si>
    <t>IR reset value</t>
  </si>
  <si>
    <t>IR capture value</t>
  </si>
  <si>
    <t>TAP Security</t>
  </si>
  <si>
    <t>Definition</t>
  </si>
  <si>
    <t>TDR Definition</t>
  </si>
  <si>
    <t>TDR Name</t>
  </si>
  <si>
    <t>PWRGOOD ,TRST ,TLR</t>
  </si>
  <si>
    <t>Access</t>
  </si>
  <si>
    <t>Back to table of contents</t>
  </si>
  <si>
    <t>PWRGOOD</t>
  </si>
  <si>
    <t>Range</t>
  </si>
  <si>
    <t>Capture Source</t>
  </si>
  <si>
    <t>Primary Output</t>
  </si>
  <si>
    <t>Reset Type 1</t>
  </si>
  <si>
    <t>Reset Type 2</t>
  </si>
  <si>
    <t>Reset Type 3</t>
  </si>
  <si>
    <t>Register</t>
  </si>
  <si>
    <t>Reset Value</t>
  </si>
  <si>
    <t>Size</t>
  </si>
  <si>
    <t>Field Name</t>
  </si>
  <si>
    <t>Field Width</t>
  </si>
  <si>
    <t>RTL Path</t>
  </si>
  <si>
    <t>IR Size</t>
  </si>
  <si>
    <t>Tap Type</t>
  </si>
  <si>
    <t>(TAP definition Name)</t>
  </si>
  <si>
    <t>Radix</t>
  </si>
  <si>
    <t>si(MSB)</t>
  </si>
  <si>
    <t>so(LSB)</t>
  </si>
  <si>
    <t>Level 0</t>
  </si>
  <si>
    <t>Type 0</t>
  </si>
  <si>
    <t>Level 1</t>
  </si>
  <si>
    <t>Type 1</t>
  </si>
  <si>
    <t>Level 2</t>
  </si>
  <si>
    <t>Type 2</t>
  </si>
  <si>
    <t>Level 3</t>
  </si>
  <si>
    <t>Type 3</t>
  </si>
  <si>
    <t>(Chain)</t>
  </si>
  <si>
    <t>TAP Instances &amp; Ports</t>
  </si>
  <si>
    <t>Instance</t>
  </si>
  <si>
    <t>Defintion</t>
  </si>
  <si>
    <t>TDI</t>
  </si>
  <si>
    <t>TDO</t>
  </si>
  <si>
    <t>TMS</t>
  </si>
  <si>
    <t>TRSTb</t>
  </si>
  <si>
    <t>TCLK</t>
  </si>
  <si>
    <t>IJTAG/RTDR Instances &amp; Ports</t>
  </si>
  <si>
    <t>Other Control Ports</t>
  </si>
  <si>
    <t>Type</t>
  </si>
  <si>
    <t>Name</t>
  </si>
  <si>
    <t>Width</t>
  </si>
  <si>
    <t>Intel Type</t>
  </si>
  <si>
    <t>Receiver</t>
  </si>
  <si>
    <t>Properties</t>
  </si>
  <si>
    <t>Attributes</t>
  </si>
  <si>
    <t>Input Data Ports</t>
  </si>
  <si>
    <t>Reset value</t>
  </si>
  <si>
    <t>Input for TDR.Field</t>
  </si>
  <si>
    <t>(autogenerated)</t>
  </si>
  <si>
    <t>Output Data Ports</t>
  </si>
  <si>
    <t>Output of TDR.Field</t>
  </si>
  <si>
    <t>Architectural</t>
  </si>
  <si>
    <t>Supported TAP networks</t>
  </si>
  <si>
    <t>IJTAG SIB type</t>
  </si>
  <si>
    <t>Standard vs. SIB with TDO repeater</t>
  </si>
  <si>
    <t>Generation</t>
  </si>
  <si>
    <t>ICL output</t>
  </si>
  <si>
    <t>RDL output</t>
  </si>
  <si>
    <t>No</t>
  </si>
  <si>
    <t>RW</t>
  </si>
  <si>
    <t>Hex</t>
  </si>
  <si>
    <t>Opcode Value (hex)</t>
  </si>
  <si>
    <t>GREEN</t>
  </si>
  <si>
    <t>ORANGE</t>
  </si>
  <si>
    <t>[8:8]</t>
  </si>
  <si>
    <t>r1</t>
  </si>
  <si>
    <t>r2</t>
  </si>
  <si>
    <t>ijtag_def</t>
  </si>
  <si>
    <t>test</t>
  </si>
  <si>
    <t>8</t>
  </si>
  <si>
    <t>reg_only</t>
  </si>
  <si>
    <t>override r1</t>
  </si>
  <si>
    <t>override r2 f1</t>
  </si>
  <si>
    <t>RED</t>
  </si>
  <si>
    <t>test2</t>
  </si>
  <si>
    <t>Uniquification prefix</t>
  </si>
  <si>
    <t>Uniquification suffix</t>
  </si>
  <si>
    <t>Register Name</t>
  </si>
  <si>
    <t>r_def</t>
  </si>
  <si>
    <t>reg desc orig</t>
  </si>
  <si>
    <t>f1</t>
  </si>
  <si>
    <t>A1</t>
  </si>
  <si>
    <t>original</t>
  </si>
  <si>
    <t>f2</t>
  </si>
  <si>
    <t>[7:0]</t>
  </si>
  <si>
    <t>9h'015</t>
  </si>
  <si>
    <t>ijtag chain</t>
  </si>
  <si>
    <t>r3</t>
  </si>
  <si>
    <t>s0</t>
  </si>
  <si>
    <t>s1</t>
  </si>
  <si>
    <t>s2</t>
  </si>
  <si>
    <t>2</t>
  </si>
  <si>
    <t>s3</t>
  </si>
  <si>
    <t>sib_std</t>
  </si>
  <si>
    <t>TdiT731L</t>
  </si>
  <si>
    <t>TdoT731H</t>
  </si>
  <si>
    <t>TrstbT731L</t>
  </si>
  <si>
    <t>Tclk</t>
  </si>
  <si>
    <t>t1</t>
  </si>
  <si>
    <t>t2</t>
  </si>
  <si>
    <t>SI</t>
  </si>
  <si>
    <t>SO</t>
  </si>
  <si>
    <t>SELECT</t>
  </si>
  <si>
    <t>IJTAG_RESET</t>
  </si>
  <si>
    <t>CAPTURE</t>
  </si>
  <si>
    <t>SHIFT</t>
  </si>
  <si>
    <t>UPDATE</t>
  </si>
  <si>
    <t>MODE_SEL</t>
  </si>
  <si>
    <t>iov_chain_si</t>
  </si>
  <si>
    <t>iov_cahin_so</t>
  </si>
  <si>
    <t>iov_chain_sel</t>
  </si>
  <si>
    <t>ijtag_reset_b</t>
  </si>
  <si>
    <t>iov_capture</t>
  </si>
  <si>
    <t>iov_shift</t>
  </si>
  <si>
    <t>iov_update</t>
  </si>
  <si>
    <t>iov_bypass</t>
  </si>
  <si>
    <t>IP IOV chain</t>
  </si>
  <si>
    <t>iov_chain0</t>
  </si>
  <si>
    <t>DataInPort</t>
  </si>
  <si>
    <t>ftap_slvidcode</t>
  </si>
  <si>
    <t>slvidcode</t>
  </si>
  <si>
    <t>dfxagg.SLVIDCODE</t>
  </si>
  <si>
    <t>fdfx_secure_policy</t>
  </si>
  <si>
    <t>security</t>
  </si>
  <si>
    <t>TapLink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</si>
</sst>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26"/>
      <color theme="1"/>
      <name val="Calibri"/>
      <family val="2"/>
      <scheme val="minor"/>
    </font>
    <font>
      <b/>
      <i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theme="4" tint="0.3999755851924192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9">
    <xf numFmtId="0" fontId="0" fillId="0" borderId="0" xfId="0"/>
    <xf numFmtId="0" fontId="1" fillId="2" borderId="1" xfId="0" applyFont="1" applyFill="1" applyBorder="1" applyAlignment="1">
      <alignment horizontal="left"/>
    </xf>
    <xf numFmtId="0" fontId="0" fillId="0" borderId="3" xfId="0" applyBorder="1" applyAlignment="1" applyProtection="1">
      <alignment horizontal="left"/>
      <protection locked="0"/>
    </xf>
    <xf numFmtId="0" fontId="0" fillId="0" borderId="2" xfId="0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0" fontId="0" fillId="3" borderId="0" xfId="0" applyFill="1" applyProtection="1">
      <protection locked="0"/>
    </xf>
    <xf numFmtId="0" fontId="1" fillId="2" borderId="1" xfId="0" applyFont="1" applyFill="1" applyBorder="1" applyAlignment="1">
      <alignment vertical="center"/>
    </xf>
    <xf numFmtId="0" fontId="0" fillId="0" borderId="4" xfId="0" applyBorder="1"/>
    <xf numFmtId="49" fontId="0" fillId="4" borderId="4" xfId="0" applyNumberFormat="1" applyFill="1" applyBorder="1"/>
    <xf numFmtId="0" fontId="0" fillId="4" borderId="4" xfId="0" applyFill="1" applyBorder="1"/>
    <xf numFmtId="49" fontId="0" fillId="0" borderId="0" xfId="0" applyNumberFormat="1" applyAlignment="1" applyProtection="1">
      <alignment horizontal="left"/>
      <protection locked="0"/>
    </xf>
    <xf numFmtId="0" fontId="5" fillId="0" borderId="3" xfId="0" applyFont="1" applyBorder="1" applyAlignment="1" applyProtection="1">
      <alignment horizontal="left"/>
      <protection locked="0"/>
    </xf>
    <xf numFmtId="49" fontId="0" fillId="0" borderId="7" xfId="0" applyNumberFormat="1" applyBorder="1" applyAlignment="1" applyProtection="1">
      <alignment horizontal="left" wrapText="1"/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0" applyFont="1" applyAlignment="1" applyProtection="1">
      <alignment horizontal="left"/>
      <protection locked="0"/>
    </xf>
    <xf numFmtId="0" fontId="0" fillId="0" borderId="6" xfId="0" applyBorder="1" applyAlignment="1" applyProtection="1">
      <alignment horizontal="left"/>
      <protection locked="0"/>
    </xf>
    <xf numFmtId="49" fontId="0" fillId="0" borderId="5" xfId="0" applyNumberFormat="1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wrapText="1"/>
      <protection locked="0"/>
    </xf>
    <xf numFmtId="0" fontId="0" fillId="0" borderId="4" xfId="0" applyBorder="1" applyProtection="1">
      <protection locked="0"/>
    </xf>
    <xf numFmtId="0" fontId="6" fillId="0" borderId="0" xfId="1" applyProtection="1">
      <protection locked="0"/>
    </xf>
    <xf numFmtId="0" fontId="0" fillId="5" borderId="6" xfId="0" applyFont="1" applyFill="1" applyBorder="1" applyProtection="1">
      <protection locked="0"/>
    </xf>
    <xf numFmtId="49" fontId="0" fillId="0" borderId="0" xfId="0" applyNumberFormat="1" applyBorder="1" applyAlignment="1" applyProtection="1">
      <alignment horizontal="left" wrapText="1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0" fillId="0" borderId="0" xfId="0" applyFill="1" applyBorder="1" applyAlignment="1"/>
    <xf numFmtId="0" fontId="0" fillId="0" borderId="4" xfId="0" applyFill="1" applyBorder="1" applyAlignment="1"/>
    <xf numFmtId="0" fontId="0" fillId="0" borderId="0" xfId="0" applyFill="1" applyAlignment="1"/>
    <xf numFmtId="0" fontId="0" fillId="0" borderId="0" xfId="0" applyFill="1" applyBorder="1" applyAlignment="1">
      <alignment wrapText="1"/>
    </xf>
    <xf numFmtId="0" fontId="0" fillId="0" borderId="0" xfId="0" applyFill="1" applyBorder="1" applyAlignment="1" applyProtection="1">
      <protection locked="0"/>
    </xf>
    <xf numFmtId="0" fontId="0" fillId="0" borderId="0" xfId="0" applyFill="1" applyBorder="1" applyAlignment="1" applyProtection="1">
      <alignment wrapText="1"/>
      <protection locked="0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7" fillId="0" borderId="0" xfId="0" applyFont="1"/>
    <xf numFmtId="0" fontId="7" fillId="3" borderId="0" xfId="0" applyFont="1" applyFill="1"/>
    <xf numFmtId="0" fontId="0" fillId="0" borderId="9" xfId="0" applyBorder="1" applyAlignment="1" applyProtection="1">
      <alignment horizontal="left"/>
      <protection locked="0"/>
    </xf>
    <xf numFmtId="49" fontId="0" fillId="0" borderId="10" xfId="0" applyNumberFormat="1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5" borderId="6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8" borderId="4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4" fillId="0" borderId="0" xfId="0" applyFont="1"/>
    <xf numFmtId="0" fontId="0" fillId="0" borderId="11" xfId="0" applyFill="1" applyBorder="1" applyAlignment="1" applyProtection="1">
      <alignment wrapText="1"/>
      <protection locked="0"/>
    </xf>
    <xf numFmtId="0" fontId="0" fillId="0" borderId="11" xfId="0" applyFill="1" applyBorder="1" applyAlignment="1"/>
    <xf numFmtId="0" fontId="0" fillId="8" borderId="11" xfId="0" applyFill="1" applyBorder="1" applyAlignment="1"/>
    <xf numFmtId="0" fontId="0" fillId="0" borderId="11" xfId="0" applyFill="1" applyBorder="1" applyAlignment="1" applyProtection="1">
      <protection locked="0"/>
    </xf>
    <xf numFmtId="0" fontId="0" fillId="0" borderId="11" xfId="0" applyFill="1" applyBorder="1" applyAlignment="1">
      <alignment wrapText="1"/>
    </xf>
    <xf numFmtId="0" fontId="0" fillId="0" borderId="11" xfId="0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273"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solid">
          <fgColor indexed="64"/>
          <bgColor theme="0" tint="-0.249977111117893"/>
        </patternFill>
      </fill>
      <alignment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solid">
          <fgColor indexed="64"/>
          <bgColor theme="0" tint="-0.249977111117893"/>
        </patternFill>
      </fill>
      <alignment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BB6AE02-68AC-4BDD-A14C-5F0CF552FCC8}" name="Table2421028613" displayName="Table2421028613" ref="J19:R20" totalsRowShown="0" headerRowDxfId="272" dataDxfId="271" headerRowCellStyle="Normal" dataCellStyle="Normal">
  <autoFilter ref="J19:R20" xr:uid="{62D95AB1-5728-42C6-8E6E-70A6B639731A}"/>
  <tableColumns count="9">
    <tableColumn id="1" xr3:uid="{5030F5FE-3304-4F51-ABB8-8FD70F5A2637}" name="Instance" dataDxfId="270" totalsRowDxfId="269" dataCellStyle="Normal"/>
    <tableColumn id="2" xr3:uid="{B74B1AB5-DEF9-4615-B93F-A681F0FE5393}" name="Defintion" dataDxfId="268" totalsRowDxfId="267" dataCellStyle="Normal"/>
    <tableColumn id="3" xr3:uid="{AAF73609-D5C0-4090-BDC2-1497C95811A2}" name="Security" dataDxfId="266" totalsRowDxfId="265" dataCellStyle="Normal"/>
    <tableColumn id="5" xr3:uid="{9B1C0E5A-B9D5-4ACC-9A8C-803096DC5D22}" name="TDI" dataDxfId="264" totalsRowDxfId="263" dataCellStyle="Normal"/>
    <tableColumn id="6" xr3:uid="{5BB7BCBF-D22B-4CF9-AC33-2C5E3C40A5BA}" name="TDO" dataDxfId="262" totalsRowDxfId="261" dataCellStyle="Normal"/>
    <tableColumn id="7" xr3:uid="{31BA196E-A04F-4364-9F8E-3E01F32E61B7}" name="TMS" dataDxfId="260" totalsRowDxfId="259" dataCellStyle="Normal"/>
    <tableColumn id="8" xr3:uid="{4A62945A-440C-4380-A7AD-90384E71DE2D}" name="TRSTb" dataDxfId="258" totalsRowDxfId="257" dataCellStyle="Normal"/>
    <tableColumn id="9" xr3:uid="{FF0D859B-52EC-40EF-BCEB-76C4A548AEB6}" name="TCLK" dataDxfId="256" totalsRowDxfId="255" dataCellStyle="Normal"/>
    <tableColumn id="10" xr3:uid="{DB1CD49B-5595-41B1-952E-AA8081FD05F4}" name="Description" dataDxfId="254" totalsRowDxfId="253" dataCellStyle="Norm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5403D43-DF00-4B66-9B14-F1F18A6B9289}" name="Table24210286714" displayName="Table24210286714" ref="J23:U24" totalsRowShown="0" headerRowDxfId="252" dataDxfId="251" headerRowCellStyle="Normal" dataCellStyle="Normal">
  <autoFilter ref="J23:U24" xr:uid="{4034E542-0733-4DCD-9841-53236BD7CE2C}"/>
  <tableColumns count="12">
    <tableColumn id="1" xr3:uid="{4DC929CE-65B0-47AE-B7AD-CCAC722DB02C}" name="Instance" dataDxfId="250" totalsRowDxfId="249" dataCellStyle="Normal"/>
    <tableColumn id="2" xr3:uid="{D0255FEA-D6DE-4D26-9564-F16066A0D232}" name="Defintion" dataDxfId="248" totalsRowDxfId="247" dataCellStyle="Normal"/>
    <tableColumn id="3" xr3:uid="{FC9CDCEC-3120-48E4-8964-C9BE290C0DC7}" name="Security" dataDxfId="246" totalsRowDxfId="245" dataCellStyle="Normal"/>
    <tableColumn id="5" xr3:uid="{77314AB4-3786-4A73-9809-43EE19166765}" name="SI" dataDxfId="244" totalsRowDxfId="243" dataCellStyle="Normal"/>
    <tableColumn id="6" xr3:uid="{8209AC98-2E53-4A6C-BBCD-CAC4AD9F848B}" name="SO" dataDxfId="242" totalsRowDxfId="241" dataCellStyle="Normal"/>
    <tableColumn id="7" xr3:uid="{E82573D6-15A0-41E7-A845-40B10795D81A}" name="SELECT" dataDxfId="240" totalsRowDxfId="239" dataCellStyle="Normal"/>
    <tableColumn id="8" xr3:uid="{9DCA55FF-47BF-43C3-B58F-D77817CD2968}" name="IJTAG_RESET" dataDxfId="238" totalsRowDxfId="237" dataCellStyle="Normal"/>
    <tableColumn id="9" xr3:uid="{7548E7AA-4259-4224-A9AC-2267A59652F1}" name="CAPTURE" dataDxfId="236" totalsRowDxfId="235" dataCellStyle="Normal"/>
    <tableColumn id="10" xr3:uid="{0C99C03E-51A9-4F5B-ABAE-E68ED45E4881}" name="SHIFT" dataDxfId="234" totalsRowDxfId="233" dataCellStyle="Normal"/>
    <tableColumn id="4" xr3:uid="{B7C4EDE3-D480-4D78-9E99-3008A59DD8A6}" name="UPDATE" dataDxfId="232" totalsRowDxfId="231" dataCellStyle="Normal"/>
    <tableColumn id="11" xr3:uid="{2F6D6FBA-63E5-408E-B29E-E233647E9F8C}" name="MODE_SEL" dataDxfId="230" totalsRowDxfId="229" dataCellStyle="Normal"/>
    <tableColumn id="12" xr3:uid="{B339F09B-38F4-4900-BD9A-43417CC9145F}" name="Description" dataDxfId="228" totalsRowDxfId="227" dataCellStyle="Norm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63EBF59-E513-4EB8-94C8-900BE273D321}" name="Table242102867815" displayName="Table242102867815" ref="J27:P28" totalsRowShown="0" headerRowDxfId="226" dataDxfId="225" headerRowCellStyle="Normal" dataCellStyle="Normal">
  <autoFilter ref="J27:P28" xr:uid="{F674F3D5-1CA5-4297-B2B5-2AD6E5325919}"/>
  <tableColumns count="7">
    <tableColumn id="1" xr3:uid="{4767B91B-48DB-4467-A7AE-1928F96EA201}" name="Type" dataDxfId="224" totalsRowDxfId="223" dataCellStyle="Normal"/>
    <tableColumn id="2" xr3:uid="{9C7A4917-ED2D-472F-B00F-D91AB9D80382}" name="Name" dataDxfId="222" totalsRowDxfId="221" dataCellStyle="Normal"/>
    <tableColumn id="3" xr3:uid="{9E1B8023-6B6E-4900-B00C-A9B4635B0A0C}" name="Width" dataDxfId="220" totalsRowDxfId="219" dataCellStyle="Normal"/>
    <tableColumn id="4" xr3:uid="{1B73E88A-62A2-4713-8F80-88B2E7068B84}" name="Intel Type" dataDxfId="218" totalsRowDxfId="217" dataCellStyle="Normal"/>
    <tableColumn id="5" xr3:uid="{B56EF6D8-8579-450C-A8B3-22EFCFB78C0A}" name="Receiver" dataDxfId="216" totalsRowDxfId="215" dataCellStyle="Normal"/>
    <tableColumn id="6" xr3:uid="{25C34918-9159-47EC-B0F0-BA098C16B955}" name="Properties" dataDxfId="214" totalsRowDxfId="213" dataCellStyle="Normal"/>
    <tableColumn id="7" xr3:uid="{2349C920-1C70-4324-93BA-23725DCBCB7E}" name="Attributes" dataDxfId="212" totalsRowDxfId="211" dataCellStyle="Norm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73953D9-39B3-480F-87CB-98D2342E393E}" name="Table2421028678916" displayName="Table2421028678916" ref="J31:P32" totalsRowShown="0" headerRowDxfId="210" dataDxfId="209" headerRowCellStyle="Normal" dataCellStyle="Normal">
  <autoFilter ref="J31:P32" xr:uid="{97FEF819-3DEC-4B69-A70F-E0BBBE65A43B}"/>
  <tableColumns count="7">
    <tableColumn id="1" xr3:uid="{221BB5FC-75FE-4D87-BD60-FFA09E6B531C}" name="Name" dataDxfId="208" totalsRowDxfId="207" dataCellStyle="Normal"/>
    <tableColumn id="2" xr3:uid="{116DEC17-C4E6-422E-8F56-6FFF231AECA0}" name="Width" dataDxfId="206" totalsRowDxfId="205" dataCellStyle="Normal"/>
    <tableColumn id="3" xr3:uid="{C7656187-D5F3-42EE-B6FF-196324BDD5D4}" name="Security" dataDxfId="204" totalsRowDxfId="203" dataCellStyle="Normal"/>
    <tableColumn id="4" xr3:uid="{2CB35AF7-420B-4755-94E1-498BDBFB285F}" name="Reset value" dataDxfId="202" totalsRowDxfId="201" dataCellStyle="Normal"/>
    <tableColumn id="5" xr3:uid="{C77662D7-2D4F-4DAF-836F-650DE34DED9C}" name="Radix" dataDxfId="200" totalsRowDxfId="199" dataCellStyle="Normal"/>
    <tableColumn id="6" xr3:uid="{D8F38A2F-F5F1-41D5-9FA0-A5A2ED7A0540}" name="Input for TDR.Field" dataDxfId="198" totalsRowDxfId="197" dataCellStyle="Normal"/>
    <tableColumn id="7" xr3:uid="{F5A249ED-7D80-4EEB-AFEA-FD32547CDA34}" name="Description" dataDxfId="196" totalsRowDxfId="195" dataCellStyle="Norm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2CEAF64-6C48-45E8-A045-5D9ED380A2CF}" name="Table242102867891017" displayName="Table242102867891017" ref="J35:P36" totalsRowShown="0" headerRowDxfId="194" dataDxfId="193" headerRowCellStyle="Normal" dataCellStyle="Normal">
  <autoFilter ref="J35:P36" xr:uid="{E0D0BF46-1347-41B0-BA87-5B11A427EC13}"/>
  <tableColumns count="7">
    <tableColumn id="1" xr3:uid="{6630F71E-0F8A-43D6-B040-CAA2CBE345D3}" name="Name" dataDxfId="192" totalsRowDxfId="191" dataCellStyle="Normal"/>
    <tableColumn id="2" xr3:uid="{C889BDB8-2452-4E00-A6D9-2B2ED3752441}" name="Width" dataDxfId="190" totalsRowDxfId="189" dataCellStyle="Normal"/>
    <tableColumn id="3" xr3:uid="{8EEA2EE9-7B9A-4DFA-8DCE-3DBEC25EDDE3}" name="Security" dataDxfId="188" totalsRowDxfId="187" dataCellStyle="Normal"/>
    <tableColumn id="4" xr3:uid="{3535D728-4213-459C-A025-DB4988500858}" name="Reset value" dataDxfId="186" totalsRowDxfId="185" dataCellStyle="Normal"/>
    <tableColumn id="5" xr3:uid="{53573A11-86E1-4867-981B-1EF7278308B5}" name="Radix" dataDxfId="184" totalsRowDxfId="183" dataCellStyle="Normal"/>
    <tableColumn id="6" xr3:uid="{29686BE7-1754-43C4-A534-FB9353F2A948}" name="Input for TDR.Field" dataDxfId="182" totalsRowDxfId="181" dataCellStyle="Normal"/>
    <tableColumn id="7" xr3:uid="{AC82C57F-4D0F-436E-BC97-12D5A036D7C9}" name="Description" dataDxfId="180" totalsRowDxfId="179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F0ADB02-0D74-4A77-9E52-E53AAE68E94C}" name="Table242102867891118" displayName="Table242102867891118" ref="J40:M41" insertRow="1" totalsRowShown="0" headerRowDxfId="178" dataDxfId="177" headerRowCellStyle="Normal" dataCellStyle="Normal">
  <autoFilter ref="J40:M41" xr:uid="{5F57D704-9351-4664-8443-96292CE6A23C}"/>
  <tableColumns count="4">
    <tableColumn id="1" xr3:uid="{511FCAF3-7A62-4F07-A02B-D7057251A56E}" name="Name" dataDxfId="176" totalsRowDxfId="175" dataCellStyle="Normal"/>
    <tableColumn id="2" xr3:uid="{C531CB79-0C00-4BC3-BCA7-EC8858CB017E}" name="Width" dataDxfId="174" totalsRowDxfId="173" dataCellStyle="Normal"/>
    <tableColumn id="3" xr3:uid="{E92A0AC0-B4A6-4FC7-B062-9BA59BFA844A}" name="Output of TDR.Field" dataDxfId="172" totalsRowDxfId="171" dataCellStyle="Normal"/>
    <tableColumn id="4" xr3:uid="{BF62740B-3748-4C36-8809-3CD89D5C6E1A}" name="Description" dataDxfId="170" totalsRowDxfId="169" dataCellStyle="Norm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FF3AED-A8FE-4C75-9E06-D8BED7106F35}" name="Table24210285" displayName="Table24210285" ref="A26:E27" totalsRowShown="0" headerRowDxfId="168" dataDxfId="167" headerRowCellStyle="Normal" dataCellStyle="Normal">
  <autoFilter ref="A26:E27" xr:uid="{9C0D7C79-4B70-476E-BF00-1C3FBCBFCE6E}"/>
  <tableColumns count="5">
    <tableColumn id="1" xr3:uid="{93B93451-C36F-4CAA-9214-938F5FEA4BE3}" name="Register Name" dataDxfId="166" totalsRowDxfId="165" dataCellStyle="Normal"/>
    <tableColumn id="2" xr3:uid="{BDE5BF70-8100-40DF-A99C-0BB3095310C1}" name="Opcode Value (hex)" dataDxfId="164" totalsRowDxfId="163" dataCellStyle="Normal"/>
    <tableColumn id="3" xr3:uid="{C92897F8-6F56-4943-9E08-365D21940A50}" name="Security" dataDxfId="162" totalsRowDxfId="161" dataCellStyle="Normal"/>
    <tableColumn id="4" xr3:uid="{2415E040-0F49-41BB-834A-DA49E509188D}" name="Definition" dataDxfId="160" totalsRowDxfId="159" dataCellStyle="Normal"/>
    <tableColumn id="5" xr3:uid="{7A2A8854-E95C-47D1-AFFE-E93FAED58FCD}" name="Description" dataDxfId="158" totalsRowDxfId="157" dataCellStyle="Norm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329E15-D47A-4CF8-80FB-8F45F3EF35F9}" name="Table2421028" displayName="Table2421028" ref="A12:J13" totalsRowShown="0" headerRowDxfId="156" dataDxfId="155" headerRowCellStyle="Normal" dataCellStyle="Normal">
  <autoFilter ref="A12:J13" xr:uid="{2428C2E9-BBEE-46F3-9A4D-BDE4DBD33E72}"/>
  <tableColumns count="10">
    <tableColumn id="1" xr3:uid="{8BDCDF53-4DB5-4EC5-AA7B-6B4BA21EF276}" name="Field Name" dataDxfId="154" totalsRowDxfId="153" dataCellStyle="Normal"/>
    <tableColumn id="2" xr3:uid="{0097AA7A-3434-42C6-BA83-CF10F7993A34}" name="Field Width" dataDxfId="152" totalsRowDxfId="151" dataCellStyle="Normal"/>
    <tableColumn id="3" xr3:uid="{904ACA76-7DC5-4118-82A6-5264EDDD8731}" name="Range" dataDxfId="150" totalsRowDxfId="149" dataCellStyle="Normal"/>
    <tableColumn id="4" xr3:uid="{8D322A24-25C2-4382-9EF8-F89E32CCACFB}" name="Access" dataDxfId="148" totalsRowDxfId="147" dataCellStyle="Normal"/>
    <tableColumn id="5" xr3:uid="{074333ED-B121-4C0A-BE95-01127D744F07}" name="Reset Value" dataDxfId="146" totalsRowDxfId="145" dataCellStyle="Normal"/>
    <tableColumn id="6" xr3:uid="{C4296A5B-CC45-4755-8918-ED8A0299235D}" name="Radix" dataDxfId="144" totalsRowDxfId="143" dataCellStyle="Normal"/>
    <tableColumn id="7" xr3:uid="{B344A4EE-FE10-4C6A-90B5-F5FB2B4A11A5}" name="Capture Source" dataDxfId="142" totalsRowDxfId="141" dataCellStyle="Normal"/>
    <tableColumn id="8" xr3:uid="{B8D528BB-CE95-4803-A396-E93454B03486}" name="Primary Output" dataDxfId="140" totalsRowDxfId="139" dataCellStyle="Normal"/>
    <tableColumn id="9" xr3:uid="{262A6064-78AF-4BEE-9F40-737ABED66FD8}" name="Description" dataDxfId="138" totalsRowDxfId="137" dataCellStyle="Normal"/>
    <tableColumn id="10" xr3:uid="{B0434A0F-15D2-4846-97CB-F8CB0F5966CF}" name="RTL Path" dataDxfId="136" totalsRowDxfId="135" dataCellStyle="Norm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CBAA2D-02BA-40FA-AEB5-723C462EA349}" name="Table24210282" displayName="Table24210282" ref="A14:J16" totalsRowShown="0" headerRowDxfId="134" dataDxfId="133" headerRowCellStyle="Normal" dataCellStyle="Normal">
  <autoFilter ref="A14:J16" xr:uid="{0BEF4225-8D11-48AD-8372-397AACF644DD}"/>
  <tableColumns count="10">
    <tableColumn id="1" xr3:uid="{D14AE085-9105-42E6-9168-E7E273E4EB5A}" name="Field Name" dataDxfId="132" totalsRowDxfId="131" dataCellStyle="Normal"/>
    <tableColumn id="2" xr3:uid="{CC9ECF50-818C-4ADD-B46A-67977ABB21D2}" name="Field Width" dataDxfId="130" totalsRowDxfId="129" dataCellStyle="Normal"/>
    <tableColumn id="3" xr3:uid="{20955003-15FF-4859-AC11-9D29E7E7BA2D}" name="Range" dataDxfId="128" totalsRowDxfId="127" dataCellStyle="Normal"/>
    <tableColumn id="4" xr3:uid="{E80D3263-302B-4978-B15A-AC2308AE86B5}" name="Access" dataDxfId="126" totalsRowDxfId="125" dataCellStyle="Normal"/>
    <tableColumn id="5" xr3:uid="{D5AD5B2E-D6A5-4795-AF43-5BDDDDB24722}" name="Reset Value" dataDxfId="124" totalsRowDxfId="123" dataCellStyle="Normal"/>
    <tableColumn id="6" xr3:uid="{8C751105-E946-4DBA-B725-EEA476A0DC09}" name="Radix" dataDxfId="122" totalsRowDxfId="121" dataCellStyle="Normal"/>
    <tableColumn id="7" xr3:uid="{8C9EB8CC-DD4A-480A-AA07-523D9DDD2C91}" name="Capture Source" dataDxfId="120" totalsRowDxfId="119" dataCellStyle="Normal"/>
    <tableColumn id="8" xr3:uid="{258C86E4-A8C2-40E2-A662-150EDE2F2B1D}" name="Primary Output" dataDxfId="118" totalsRowDxfId="117" dataCellStyle="Normal"/>
    <tableColumn id="9" xr3:uid="{37856531-5284-4E16-ACE7-5F82E93989BD}" name="Description" dataDxfId="116" totalsRowDxfId="115" dataCellStyle="Normal"/>
    <tableColumn id="10" xr3:uid="{413C1569-6353-472B-B440-3E4F7B0C6C0B}" name="RTL Path" dataDxfId="114" totalsRowDxfId="113" dataCellStyle="Norm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FD0025-05C0-484E-88E2-FF2869E5D7B0}" name="Table242102854" displayName="Table242102854" ref="A13:E16" totalsRowShown="0" headerRowDxfId="112" dataDxfId="111" headerRowCellStyle="Normal" dataCellStyle="Normal">
  <autoFilter ref="A13:E16" xr:uid="{39000B32-452F-4E1E-B156-D02DC80E25DB}"/>
  <tableColumns count="5">
    <tableColumn id="1" xr3:uid="{BCB5B3E5-53B6-40B9-BF48-72A3DF25AA82}" name="Register Name" dataDxfId="110" totalsRowDxfId="109" dataCellStyle="Normal"/>
    <tableColumn id="2" xr3:uid="{707520DB-6F9E-433B-BA7C-951F9B31F38B}" name="Opcode Value (hex)" dataDxfId="108" totalsRowDxfId="107" dataCellStyle="Normal"/>
    <tableColumn id="3" xr3:uid="{DF80380F-9CC4-4BDE-A782-EA6F20D3C893}" name="Security" dataDxfId="106" totalsRowDxfId="105" dataCellStyle="Normal"/>
    <tableColumn id="4" xr3:uid="{BBF10FD3-D18A-4BAE-BFE5-1B2221375D32}" name="Definition" dataDxfId="104" totalsRowDxfId="103" dataCellStyle="Normal"/>
    <tableColumn id="5" xr3:uid="{BB9F86AA-EEAB-443F-BBD3-AFD34A4EC956}" name="Description" dataDxfId="102" totalsRowDxfId="101" dataCellStyle="Norma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BB42236-F6BB-4F08-9E5F-3E8BBA9906B0}" name="Table242102856" displayName="Table242102856" ref="A28:E30" totalsRowShown="0" headerRowDxfId="100" dataDxfId="99" headerRowCellStyle="Normal" dataCellStyle="Normal">
  <autoFilter ref="A28:E30" xr:uid="{41DDF578-A6DA-46E6-AFEE-CB848CEF954A}"/>
  <tableColumns count="5">
    <tableColumn id="1" xr3:uid="{6ACB0D36-49A3-4BE2-BD81-200C8FD69301}" name="Register Name" dataDxfId="98" totalsRowDxfId="97" dataCellStyle="Normal"/>
    <tableColumn id="2" xr3:uid="{03D410F0-C82E-4BDA-B15B-61A139E2AA8C}" name="Opcode Value (hex)" dataDxfId="96" totalsRowDxfId="95" dataCellStyle="Normal"/>
    <tableColumn id="3" xr3:uid="{6FF38D52-2FAB-4D94-A392-AE5B95A3F216}" name="Security" dataDxfId="94" totalsRowDxfId="93" dataCellStyle="Normal"/>
    <tableColumn id="4" xr3:uid="{E2FEDABE-A3C8-4267-8B3C-AE1C70CEBA7D}" name="Definition" dataDxfId="92" totalsRowDxfId="91" dataCellStyle="Normal"/>
    <tableColumn id="5" xr3:uid="{B15EF7ED-3466-4B70-8556-5CEE15409C37}" name="Description" dataDxfId="90" totalsRowDxfId="89" dataCellStyle="Normal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BD811C0-A062-4DB7-BB7A-F8EEC47835C4}" name="Table24210286137" displayName="Table24210286137" ref="A4:I6" totalsRowShown="0" headerRowDxfId="88" dataDxfId="87" headerRowCellStyle="Normal" dataCellStyle="Normal">
  <autoFilter ref="A4:I6" xr:uid="{E6624369-84FC-4570-94AD-12A490235303}"/>
  <tableColumns count="9">
    <tableColumn id="1" xr3:uid="{96EA76D2-550D-4493-968C-19A61A0622D5}" name="Instance" dataDxfId="86" totalsRowDxfId="85" dataCellStyle="Normal"/>
    <tableColumn id="2" xr3:uid="{4FA8ECB1-0A66-49AE-BE22-75CB9B8FBA06}" name="Definition" dataDxfId="84" totalsRowDxfId="83" dataCellStyle="Normal"/>
    <tableColumn id="3" xr3:uid="{0D195E70-AE2C-43DC-8CB6-99F0EC5AC313}" name="Security" dataDxfId="82" dataCellStyle="Normal"/>
    <tableColumn id="5" xr3:uid="{D0F44C13-FCF9-487F-989E-7F2EF5C78098}" name="TDI" dataDxfId="81" dataCellStyle="Normal"/>
    <tableColumn id="6" xr3:uid="{46754384-CABA-460C-AD73-5ED52C2CAA0C}" name="TDO" dataDxfId="80" dataCellStyle="Normal"/>
    <tableColumn id="7" xr3:uid="{1688DBA0-B047-4B21-86E3-9185E41373C1}" name="TMS" dataDxfId="79" dataCellStyle="Normal"/>
    <tableColumn id="8" xr3:uid="{927D2858-50D2-43C8-8844-D9A54A4B9152}" name="TRSTb" dataDxfId="78" dataCellStyle="Normal"/>
    <tableColumn id="9" xr3:uid="{57A306F2-1E05-4981-9B51-5F798E5F5F8E}" name="TCLK" dataDxfId="77" dataCellStyle="Normal"/>
    <tableColumn id="10" xr3:uid="{AC07479E-F349-4960-BA14-055E909337FF}" name="Description" dataDxfId="76" totalsRowDxfId="75" dataCellStyle="Norm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D3203B5-3B34-4119-9CFD-830B3E1ACAB9}" name="Table242102867148" displayName="Table242102867148" ref="A9:L10" totalsRowShown="0" headerRowDxfId="74" dataDxfId="73" headerRowCellStyle="Normal" dataCellStyle="Normal">
  <autoFilter ref="A9:L10" xr:uid="{1C3F15EF-57C6-430F-B225-60BAB531D4BC}"/>
  <tableColumns count="12">
    <tableColumn id="1" xr3:uid="{37DC9324-76F3-4290-8D12-B13509F9DB94}" name="Instance" dataDxfId="72" totalsRowDxfId="71" dataCellStyle="Normal"/>
    <tableColumn id="2" xr3:uid="{F5669EAD-0F9D-4960-AE50-3E1481A11574}" name="Definition" dataDxfId="70" totalsRowDxfId="69" dataCellStyle="Normal"/>
    <tableColumn id="3" xr3:uid="{9F0D1C6C-A036-45D8-8E0B-DADBA53A38EC}" name="Security" dataDxfId="68" totalsRowDxfId="67" dataCellStyle="Normal"/>
    <tableColumn id="5" xr3:uid="{726E6CB9-A17A-41C6-B40E-F33F4D76F97D}" name="SI" dataDxfId="66" dataCellStyle="Normal"/>
    <tableColumn id="6" xr3:uid="{A69199EB-D5F9-47AE-A00C-E8C06051A609}" name="SO" dataDxfId="65" dataCellStyle="Normal"/>
    <tableColumn id="7" xr3:uid="{301D463C-EE1E-4EC1-86C4-1BA318CAE64A}" name="SELECT" dataDxfId="64" dataCellStyle="Normal"/>
    <tableColumn id="8" xr3:uid="{7CEF5C2B-510B-45E3-9617-2A66570A8328}" name="IJTAG_RESET" dataDxfId="63" dataCellStyle="Normal"/>
    <tableColumn id="9" xr3:uid="{7F886109-3BD7-479E-9402-BAEEEE9BC178}" name="CAPTURE" dataDxfId="62" dataCellStyle="Normal"/>
    <tableColumn id="10" xr3:uid="{0BBF5D08-F06D-4081-A244-E16DB6E103A0}" name="SHIFT" dataDxfId="61" dataCellStyle="Normal"/>
    <tableColumn id="4" xr3:uid="{262AD0C7-FB71-44B1-A25C-202235562333}" name="UPDATE" dataDxfId="60" dataCellStyle="Normal"/>
    <tableColumn id="11" xr3:uid="{21809E87-3860-40F5-8522-5151F94D1750}" name="MODE_SEL" dataDxfId="59" dataCellStyle="Normal"/>
    <tableColumn id="13" xr3:uid="{5FCC981E-FD19-4DF9-86F5-1BE480C337F6}" name="Description" dataDxfId="58" dataCellStyle="Normal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8B25690-CF18-419D-B18D-6B886E62E53F}" name="Table2421028678159" displayName="Table2421028678159" ref="A13:G15" totalsRowShown="0" headerRowDxfId="57" dataDxfId="56" headerRowCellStyle="Normal" dataCellStyle="Normal">
  <autoFilter ref="A13:G15" xr:uid="{4C0F5752-8084-411C-9314-A55540EB474A}"/>
  <tableColumns count="7">
    <tableColumn id="1" xr3:uid="{E0CAA50F-6453-4D12-870D-83CBB68B1BC7}" name="Type" dataDxfId="55" totalsRowDxfId="54" dataCellStyle="Normal"/>
    <tableColumn id="2" xr3:uid="{D229E8F7-7650-4988-86AE-450F355F4414}" name="Name" dataDxfId="53" totalsRowDxfId="52" dataCellStyle="Normal"/>
    <tableColumn id="3" xr3:uid="{F1976351-E8E9-4D36-A007-45EAA0B4B563}" name="Width" dataDxfId="51" totalsRowDxfId="50" dataCellStyle="Normal"/>
    <tableColumn id="4" xr3:uid="{E66C4FF3-2F8A-4630-9D53-08BD57AE82ED}" name="Intel Type" dataDxfId="49" totalsRowDxfId="48" dataCellStyle="Normal"/>
    <tableColumn id="5" xr3:uid="{510DC659-F6C4-46B7-ACCF-4D8C40194EDC}" name="Receiver" dataDxfId="47" totalsRowDxfId="46" dataCellStyle="Normal"/>
    <tableColumn id="6" xr3:uid="{9D7BB953-33FA-432F-8B5F-2C620ACB1BE7}" name="Properties" dataDxfId="45" totalsRowDxfId="44" dataCellStyle="Normal"/>
    <tableColumn id="7" xr3:uid="{298420BC-68F4-4365-A930-3C782718751C}" name="Attributes" dataDxfId="43" totalsRowDxfId="42" dataCellStyle="Normal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39EE5E-A1EA-413A-87E4-6ECDAB20A265}" name="Table242102867891610" displayName="Table242102867891610" ref="A18:G19" totalsRowShown="0" headerRowDxfId="41" dataDxfId="40" headerRowCellStyle="Normal" dataCellStyle="Normal">
  <autoFilter ref="A18:G19" xr:uid="{5D18ED15-A4FB-4AFF-BAF5-0E700CBCF580}"/>
  <tableColumns count="7">
    <tableColumn id="1" xr3:uid="{CB7A8366-3B03-467A-9D90-472AF593BDA4}" name="Name" dataDxfId="39" totalsRowDxfId="38" dataCellStyle="Normal"/>
    <tableColumn id="2" xr3:uid="{2C3EFCF5-CF85-46B8-BA99-FD47D6EE3418}" name="Width" dataDxfId="37" totalsRowDxfId="36" dataCellStyle="Normal"/>
    <tableColumn id="3" xr3:uid="{C8297F72-BC2A-4277-99C8-D30F42D8F4E7}" name="Security" dataDxfId="35" totalsRowDxfId="34" dataCellStyle="Normal"/>
    <tableColumn id="4" xr3:uid="{167C0983-F451-464B-9EAE-C99219600721}" name="Reset value" dataDxfId="33" totalsRowDxfId="32" dataCellStyle="Normal"/>
    <tableColumn id="5" xr3:uid="{9916C04F-7145-4A12-BC97-60EA4D7C49A4}" name="Radix" dataDxfId="31" totalsRowDxfId="30" dataCellStyle="Normal"/>
    <tableColumn id="6" xr3:uid="{1E010326-DE6E-4A27-BAEA-0EA3A6506B3C}" name="Input for TDR.Field" dataDxfId="29" totalsRowDxfId="28" dataCellStyle="Normal"/>
    <tableColumn id="7" xr3:uid="{02F82329-2AF1-4DE5-8584-0E50E32ED67E}" name="Description" dataDxfId="27" totalsRowDxfId="26" dataCellStyle="Normal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13973E3-20AA-4F24-B325-0522E649A05D}" name="Table24210286789101711" displayName="Table24210286789101711" ref="A22:G23" totalsRowShown="0" headerRowDxfId="25" dataDxfId="24" headerRowCellStyle="Normal" dataCellStyle="Normal">
  <autoFilter ref="A22:G23" xr:uid="{670673F9-980E-41A4-B847-4BF463447421}"/>
  <tableColumns count="7">
    <tableColumn id="1" xr3:uid="{44D58543-6AD3-479F-8A95-2C3AA9947B18}" name="Name" dataDxfId="23" totalsRowDxfId="22" dataCellStyle="Normal"/>
    <tableColumn id="2" xr3:uid="{7D7AFA34-5A66-47ED-A373-E52298A03F8D}" name="Width" dataDxfId="21" totalsRowDxfId="20" dataCellStyle="Normal"/>
    <tableColumn id="3" xr3:uid="{3B35CFFC-512F-4CF2-85C9-9CD3212D4BEB}" name="Security" dataDxfId="19" totalsRowDxfId="18" dataCellStyle="Normal"/>
    <tableColumn id="4" xr3:uid="{6B8C68C4-65CB-455E-967D-F3CD077AB809}" name="Reset value" dataDxfId="17" totalsRowDxfId="16" dataCellStyle="Normal"/>
    <tableColumn id="5" xr3:uid="{B9341F6C-CA3B-4ABA-B94F-47EEBE89FE7A}" name="Radix" dataDxfId="15" totalsRowDxfId="14" dataCellStyle="Normal"/>
    <tableColumn id="6" xr3:uid="{9249E28D-265B-41B4-A431-177DD47CF3A2}" name="Input for TDR.Field" dataDxfId="13" totalsRowDxfId="12" dataCellStyle="Normal"/>
    <tableColumn id="7" xr3:uid="{7374390B-B5F4-46C2-94A1-14E3C03F2D27}" name="Description" dataDxfId="11" totalsRowDxfId="10" dataCellStyle="Normal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34EA521-2C5D-434F-906B-F343B1D1BECE}" name="Table24210286789111812" displayName="Table24210286789111812" ref="A27:D28" insertRow="1" totalsRowShown="0" headerRowDxfId="9" dataDxfId="8" headerRowCellStyle="Normal" dataCellStyle="Normal">
  <autoFilter ref="A27:D28" xr:uid="{110F8D13-92FB-491B-B055-09737F1ED691}"/>
  <tableColumns count="4">
    <tableColumn id="1" xr3:uid="{2033AE47-F005-41B5-B15E-924F1770CC51}" name="Name" dataDxfId="7" totalsRowDxfId="6" dataCellStyle="Normal"/>
    <tableColumn id="2" xr3:uid="{BF5D74F0-AD6B-4361-9164-58B2C10544BF}" name="Width" dataDxfId="5" totalsRowDxfId="4" dataCellStyle="Normal"/>
    <tableColumn id="3" xr3:uid="{E475938E-C5EC-45BA-A698-CE50CE37C8E8}" name="Output of TDR.Field" dataDxfId="3" totalsRowDxfId="2" dataCellStyle="Normal"/>
    <tableColumn id="4" xr3:uid="{C1714E84-5F59-49F0-B016-DE6D75CE224A}" name="Description" dataDxfId="1" totalsRowDxfId="0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FD682-946B-4BFE-B52E-0DF92C5BBCC3}">
  <sheetPr codeName="Sheet3"/>
  <dimension ref="A1:U41"/>
  <sheetViews>
    <sheetView workbookViewId="0">
      <selection activeCell="A14" sqref="A14:B14"/>
    </sheetView>
  </sheetViews>
  <sheetFormatPr defaultRowHeight="14.4" x14ac:dyDescent="0.3"/>
  <cols>
    <col min="10" max="10" width="26.44140625" bestFit="1" customWidth="1"/>
    <col min="11" max="11" width="19.77734375" customWidth="1"/>
    <col min="12" max="12" width="19.88671875" bestFit="1" customWidth="1"/>
    <col min="13" max="13" width="12.77734375" bestFit="1" customWidth="1"/>
    <col min="14" max="14" width="10.33203125" bestFit="1" customWidth="1"/>
    <col min="15" max="15" width="19" bestFit="1" customWidth="1"/>
    <col min="16" max="16" width="14" bestFit="1" customWidth="1"/>
    <col min="17" max="17" width="11.109375" bestFit="1" customWidth="1"/>
    <col min="18" max="18" width="12.6640625" bestFit="1" customWidth="1"/>
    <col min="19" max="19" width="10.109375" bestFit="1" customWidth="1"/>
    <col min="20" max="20" width="12.44140625" bestFit="1" customWidth="1"/>
    <col min="21" max="21" width="12.6640625" bestFit="1" customWidth="1"/>
    <col min="22" max="22" width="8" bestFit="1" customWidth="1"/>
  </cols>
  <sheetData>
    <row r="1" spans="1:14" x14ac:dyDescent="0.3">
      <c r="A1" s="4" t="s">
        <v>13</v>
      </c>
    </row>
    <row r="2" spans="1:14" x14ac:dyDescent="0.3">
      <c r="A2" s="4" t="s">
        <v>10</v>
      </c>
    </row>
    <row r="4" spans="1:14" x14ac:dyDescent="0.3">
      <c r="A4" s="39" t="s">
        <v>32</v>
      </c>
      <c r="B4" s="40" t="s">
        <v>33</v>
      </c>
      <c r="C4" s="40" t="s">
        <v>34</v>
      </c>
      <c r="D4" s="40" t="s">
        <v>35</v>
      </c>
      <c r="E4" s="40" t="s">
        <v>36</v>
      </c>
      <c r="F4" s="40" t="s">
        <v>37</v>
      </c>
      <c r="G4" s="40" t="s">
        <v>38</v>
      </c>
      <c r="H4" s="40" t="s">
        <v>39</v>
      </c>
      <c r="N4" s="41"/>
    </row>
    <row r="6" spans="1:14" x14ac:dyDescent="0.3">
      <c r="A6" s="32" t="s">
        <v>40</v>
      </c>
      <c r="B6" s="33"/>
      <c r="C6" s="33"/>
      <c r="D6" s="33"/>
      <c r="E6" s="33"/>
      <c r="F6" s="33"/>
      <c r="G6" s="33"/>
      <c r="H6" s="33"/>
    </row>
    <row r="7" spans="1:14" x14ac:dyDescent="0.3">
      <c r="A7" s="34" t="s">
        <v>30</v>
      </c>
      <c r="C7" s="33"/>
      <c r="D7" s="33"/>
      <c r="E7" s="33"/>
      <c r="F7" s="33"/>
      <c r="G7" s="33"/>
      <c r="H7" s="33"/>
    </row>
    <row r="8" spans="1:14" x14ac:dyDescent="0.3">
      <c r="A8" s="35"/>
      <c r="B8" s="36"/>
      <c r="C8" s="33"/>
      <c r="D8" s="33"/>
      <c r="E8" s="33"/>
      <c r="F8" s="33"/>
      <c r="G8" s="33"/>
      <c r="H8" s="33"/>
    </row>
    <row r="9" spans="1:14" x14ac:dyDescent="0.3">
      <c r="A9" s="34" t="s">
        <v>31</v>
      </c>
      <c r="B9" s="33"/>
      <c r="C9" s="33"/>
      <c r="D9" s="33"/>
      <c r="E9" s="33"/>
      <c r="F9" s="33"/>
      <c r="G9" s="33"/>
      <c r="H9" s="33"/>
    </row>
    <row r="12" spans="1:14" x14ac:dyDescent="0.3">
      <c r="A12" s="35"/>
      <c r="B12" s="36"/>
    </row>
    <row r="14" spans="1:14" x14ac:dyDescent="0.3">
      <c r="A14" s="37"/>
      <c r="B14" s="38" t="str">
        <f>Parameters!$B$3</f>
        <v>sib_std</v>
      </c>
    </row>
    <row r="18" spans="10:21" x14ac:dyDescent="0.3">
      <c r="J18" s="41" t="s">
        <v>41</v>
      </c>
    </row>
    <row r="19" spans="10:21" x14ac:dyDescent="0.3">
      <c r="J19" s="43" t="s">
        <v>42</v>
      </c>
      <c r="K19" s="44" t="s">
        <v>43</v>
      </c>
      <c r="L19" s="45" t="s">
        <v>0</v>
      </c>
      <c r="M19" s="45" t="s">
        <v>44</v>
      </c>
      <c r="N19" s="46" t="s">
        <v>45</v>
      </c>
      <c r="O19" s="46" t="s">
        <v>46</v>
      </c>
      <c r="P19" t="s">
        <v>47</v>
      </c>
      <c r="Q19" s="28" t="s">
        <v>48</v>
      </c>
      <c r="R19" s="28" t="s">
        <v>3</v>
      </c>
    </row>
    <row r="20" spans="10:21" x14ac:dyDescent="0.3">
      <c r="J20" s="19"/>
      <c r="K20" s="20"/>
      <c r="L20" s="25"/>
      <c r="M20" s="20"/>
      <c r="N20" s="19"/>
      <c r="O20" s="8"/>
      <c r="P20" s="8"/>
      <c r="Q20" s="27"/>
      <c r="R20" s="27"/>
    </row>
    <row r="22" spans="10:21" x14ac:dyDescent="0.3">
      <c r="J22" s="41" t="s">
        <v>49</v>
      </c>
    </row>
    <row r="23" spans="10:21" x14ac:dyDescent="0.3">
      <c r="J23" s="43" t="s">
        <v>42</v>
      </c>
      <c r="K23" s="44" t="s">
        <v>43</v>
      </c>
      <c r="L23" s="45" t="s">
        <v>0</v>
      </c>
      <c r="M23" s="45" t="s">
        <v>113</v>
      </c>
      <c r="N23" s="46" t="s">
        <v>114</v>
      </c>
      <c r="O23" s="46" t="s">
        <v>115</v>
      </c>
      <c r="P23" t="s">
        <v>116</v>
      </c>
      <c r="Q23" s="28" t="s">
        <v>117</v>
      </c>
      <c r="R23" s="28" t="s">
        <v>118</v>
      </c>
      <c r="S23" s="28" t="s">
        <v>119</v>
      </c>
      <c r="T23" s="28" t="s">
        <v>120</v>
      </c>
      <c r="U23" s="28" t="s">
        <v>3</v>
      </c>
    </row>
    <row r="24" spans="10:21" x14ac:dyDescent="0.3">
      <c r="J24" s="19"/>
      <c r="K24" s="20"/>
      <c r="L24" s="25"/>
      <c r="M24" s="20"/>
      <c r="N24" s="19"/>
      <c r="O24" s="8"/>
      <c r="P24" s="8"/>
      <c r="Q24" s="27"/>
      <c r="R24" s="27"/>
      <c r="S24" s="27"/>
      <c r="T24" s="27"/>
      <c r="U24" s="27"/>
    </row>
    <row r="26" spans="10:21" x14ac:dyDescent="0.3">
      <c r="J26" s="41" t="s">
        <v>50</v>
      </c>
    </row>
    <row r="27" spans="10:21" x14ac:dyDescent="0.3">
      <c r="J27" s="43" t="s">
        <v>51</v>
      </c>
      <c r="K27" s="44" t="s">
        <v>52</v>
      </c>
      <c r="L27" s="45" t="s">
        <v>53</v>
      </c>
      <c r="M27" s="45" t="s">
        <v>54</v>
      </c>
      <c r="N27" s="45" t="s">
        <v>55</v>
      </c>
      <c r="O27" s="46" t="s">
        <v>56</v>
      </c>
      <c r="P27" s="46" t="s">
        <v>57</v>
      </c>
    </row>
    <row r="28" spans="10:21" x14ac:dyDescent="0.3">
      <c r="J28" s="8"/>
      <c r="K28" s="20"/>
      <c r="L28" s="20"/>
      <c r="M28" s="8"/>
      <c r="N28" s="20"/>
      <c r="O28" s="19"/>
      <c r="P28" s="8"/>
    </row>
    <row r="30" spans="10:21" x14ac:dyDescent="0.3">
      <c r="J30" s="41" t="s">
        <v>58</v>
      </c>
    </row>
    <row r="31" spans="10:21" x14ac:dyDescent="0.3">
      <c r="J31" s="43" t="s">
        <v>52</v>
      </c>
      <c r="K31" s="44" t="s">
        <v>53</v>
      </c>
      <c r="L31" s="45" t="s">
        <v>0</v>
      </c>
      <c r="M31" s="45" t="s">
        <v>59</v>
      </c>
      <c r="N31" s="45" t="s">
        <v>29</v>
      </c>
      <c r="O31" s="46" t="s">
        <v>60</v>
      </c>
      <c r="P31" s="46" t="s">
        <v>3</v>
      </c>
    </row>
    <row r="32" spans="10:21" x14ac:dyDescent="0.3">
      <c r="J32" s="19"/>
      <c r="K32" s="20"/>
      <c r="L32" s="25"/>
      <c r="M32" s="20">
        <v>0</v>
      </c>
      <c r="N32" s="19" t="s">
        <v>73</v>
      </c>
      <c r="O32" s="19"/>
      <c r="P32" s="8"/>
    </row>
    <row r="34" spans="10:16" x14ac:dyDescent="0.3">
      <c r="J34" s="42" t="s">
        <v>61</v>
      </c>
    </row>
    <row r="35" spans="10:16" x14ac:dyDescent="0.3">
      <c r="J35" s="43" t="s">
        <v>52</v>
      </c>
      <c r="K35" s="44" t="s">
        <v>53</v>
      </c>
      <c r="L35" s="45" t="s">
        <v>0</v>
      </c>
      <c r="M35" s="45" t="s">
        <v>59</v>
      </c>
      <c r="N35" s="45" t="s">
        <v>29</v>
      </c>
      <c r="O35" s="46" t="s">
        <v>60</v>
      </c>
      <c r="P35" s="46" t="s">
        <v>3</v>
      </c>
    </row>
    <row r="36" spans="10:16" x14ac:dyDescent="0.3">
      <c r="J36" s="19"/>
      <c r="K36" s="20"/>
      <c r="L36" s="25"/>
      <c r="M36" s="20">
        <v>0</v>
      </c>
      <c r="N36" s="19" t="s">
        <v>73</v>
      </c>
      <c r="O36" s="19"/>
      <c r="P36" s="8"/>
    </row>
    <row r="38" spans="10:16" x14ac:dyDescent="0.3">
      <c r="J38" s="41" t="s">
        <v>62</v>
      </c>
    </row>
    <row r="39" spans="10:16" x14ac:dyDescent="0.3">
      <c r="J39" s="42" t="s">
        <v>61</v>
      </c>
    </row>
    <row r="40" spans="10:16" x14ac:dyDescent="0.3">
      <c r="J40" s="43" t="s">
        <v>52</v>
      </c>
      <c r="K40" s="44" t="s">
        <v>53</v>
      </c>
      <c r="L40" s="45" t="s">
        <v>63</v>
      </c>
      <c r="M40" s="45" t="s">
        <v>3</v>
      </c>
    </row>
    <row r="41" spans="10:16" x14ac:dyDescent="0.3">
      <c r="J41" s="19"/>
      <c r="K41" s="20"/>
      <c r="L41" s="20"/>
      <c r="M41" s="20"/>
    </row>
  </sheetData>
  <dataValidations disablePrompts="1" count="8">
    <dataValidation type="list" allowBlank="1" showInputMessage="1" showErrorMessage="1" sqref="N15:N17 J28" xr:uid="{9B39EEC2-2942-4852-96F8-8D22DBA3425F}">
      <formula1>"DataInPort, ResetPort, ClockPort"</formula1>
    </dataValidation>
    <dataValidation type="list" allowBlank="1" showInputMessage="1" showErrorMessage="1" sqref="Q15:Q16 M28" xr:uid="{805F072E-6184-4A42-8561-2CDB7A054D5B}">
      <formula1>"powergood, powergood_b, tlr_reset, tlr_reset_b,security,slvidcode"</formula1>
    </dataValidation>
    <dataValidation type="list" allowBlank="1" showInputMessage="1" showErrorMessage="1" sqref="M41" xr:uid="{6CA7F768-2862-4426-B747-53EB91C120A2}">
      <formula1>"RO,RW,RO/V,RW/V,Rsvd"</formula1>
    </dataValidation>
    <dataValidation type="list" allowBlank="1" showInputMessage="1" showErrorMessage="1" sqref="L20 L24 L32 L36" xr:uid="{5DD13072-FB4F-448D-85AF-DD01B5CDB4F7}">
      <formula1>"GREEN,ORANGE,RED,NA"</formula1>
    </dataValidation>
    <dataValidation type="list" allowBlank="1" showInputMessage="1" showErrorMessage="1" sqref="K20" xr:uid="{349013E0-202E-4D93-BAD9-BA03AC4673D1}">
      <formula1>indexTap</formula1>
    </dataValidation>
    <dataValidation type="list" allowBlank="1" showInputMessage="1" showErrorMessage="1" sqref="K24" xr:uid="{4FA83577-EE59-4629-8EA6-73957E397708}">
      <formula1>indexChains</formula1>
    </dataValidation>
    <dataValidation type="list" allowBlank="1" showInputMessage="1" showErrorMessage="1" sqref="B8 B12" xr:uid="{9157738A-C108-42ED-AC3F-6EF47BA5207C}">
      <formula1>indexReg</formula1>
    </dataValidation>
    <dataValidation type="list" allowBlank="1" showInputMessage="1" showErrorMessage="1" sqref="N32 N36" xr:uid="{B820A1DD-F67D-4D15-9783-1BA68D0D656A}">
      <formula1>"Hex, Dec, Bin"</formula1>
    </dataValidation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7A975-DE6C-46BA-A336-177CBE4289EA}">
  <sheetPr codeName="Sheet6"/>
  <dimension ref="A1:D9"/>
  <sheetViews>
    <sheetView tabSelected="1" zoomScale="170" zoomScaleNormal="170" workbookViewId="0"/>
  </sheetViews>
  <sheetFormatPr defaultRowHeight="14.4" x14ac:dyDescent="0.3"/>
  <cols>
    <col min="1" max="1" width="22.88671875" customWidth="1"/>
    <col min="2" max="2" width="13.21875" customWidth="1"/>
  </cols>
  <sheetData>
    <row r="1" spans="1:4" x14ac:dyDescent="0.3">
      <c r="A1" s="41" t="s">
        <v>64</v>
      </c>
    </row>
    <row r="2" spans="1:4" x14ac:dyDescent="0.3">
      <c r="A2" t="s">
        <v>65</v>
      </c>
      <c r="B2" t="s">
        <v>137</v>
      </c>
    </row>
    <row r="3" spans="1:4" x14ac:dyDescent="0.3">
      <c r="A3" t="s">
        <v>66</v>
      </c>
      <c r="B3" t="s">
        <v>106</v>
      </c>
      <c r="D3" t="s">
        <v>67</v>
      </c>
    </row>
    <row r="5" spans="1:4" x14ac:dyDescent="0.3">
      <c r="A5" s="41" t="s">
        <v>68</v>
      </c>
    </row>
    <row r="6" spans="1:4" x14ac:dyDescent="0.3">
      <c r="A6" t="s">
        <v>88</v>
      </c>
    </row>
    <row r="7" spans="1:4" x14ac:dyDescent="0.3">
      <c r="A7" t="s">
        <v>89</v>
      </c>
    </row>
    <row r="8" spans="1:4" x14ac:dyDescent="0.3">
      <c r="A8" t="s">
        <v>69</v>
      </c>
      <c r="B8" t="s">
        <v>71</v>
      </c>
    </row>
    <row r="9" spans="1:4" x14ac:dyDescent="0.3">
      <c r="A9" t="s">
        <v>70</v>
      </c>
      <c r="B9" t="s">
        <v>71</v>
      </c>
    </row>
  </sheetData>
  <dataValidations count="3">
    <dataValidation type="list" allowBlank="1" showInputMessage="1" showErrorMessage="1" sqref="B8:B9" xr:uid="{C24D005A-ACEE-4D5D-B66E-F3E591C2676D}">
      <formula1>"Yes, No"</formula1>
    </dataValidation>
    <dataValidation type="list" allowBlank="1" showInputMessage="1" showErrorMessage="1" sqref="B3" xr:uid="{27E49B3B-583B-4887-993D-0F014EA341BF}">
      <formula1>"sib_std, sib_with_rpt"</formula1>
    </dataValidation>
    <dataValidation type="list" allowBlank="1" showInputMessage="1" showErrorMessage="1" sqref="B2" xr:uid="{1CECBB38-AB59-4232-88AE-F28ACEA5D48B}">
      <formula1>"Hierarchical, TapLink, Universal"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381C0-5763-4B35-81E9-88459467B018}">
  <sheetPr codeName="Sheet7">
    <outlinePr applyStyles="1"/>
  </sheetPr>
  <dimension ref="A1:J27"/>
  <sheetViews>
    <sheetView zoomScaleNormal="100" workbookViewId="0">
      <selection activeCell="A27" sqref="A27:E27"/>
    </sheetView>
  </sheetViews>
  <sheetFormatPr defaultColWidth="8.88671875" defaultRowHeight="14.4" x14ac:dyDescent="0.3"/>
  <cols>
    <col min="1" max="1" width="36.109375" style="4" customWidth="1"/>
    <col min="2" max="2" width="32" style="4" customWidth="1"/>
    <col min="3" max="4" width="14.33203125" style="4" bestFit="1" customWidth="1"/>
    <col min="5" max="5" width="23.109375" style="4" customWidth="1"/>
    <col min="6" max="6" width="21.77734375" style="4" bestFit="1" customWidth="1"/>
    <col min="7" max="7" width="20" style="4" customWidth="1"/>
    <col min="8" max="8" width="30.33203125" style="4" customWidth="1"/>
    <col min="9" max="9" width="30.88671875" style="4" customWidth="1"/>
    <col min="10" max="10" width="15.44140625" style="4" customWidth="1"/>
    <col min="11" max="11" width="18.44140625" style="4" customWidth="1"/>
    <col min="12" max="12" width="12.33203125" style="4" customWidth="1"/>
    <col min="13" max="13" width="6.6640625" style="4" customWidth="1"/>
    <col min="14" max="14" width="9" style="4" customWidth="1"/>
    <col min="15" max="15" width="6.5546875" style="4" customWidth="1"/>
    <col min="16" max="16" width="6.88671875" style="4" customWidth="1"/>
    <col min="17" max="17" width="8.33203125" style="4" customWidth="1"/>
    <col min="18" max="20" width="7.33203125" style="4" customWidth="1"/>
    <col min="21" max="21" width="8.33203125" style="4" customWidth="1"/>
    <col min="22" max="25" width="7.6640625" style="4" customWidth="1"/>
    <col min="26" max="26" width="8.33203125" style="4" customWidth="1"/>
    <col min="27" max="27" width="13.6640625" style="4" customWidth="1"/>
    <col min="28" max="29" width="19.33203125" style="4" customWidth="1"/>
    <col min="30" max="31" width="7.6640625" style="4" customWidth="1"/>
    <col min="32" max="32" width="10.33203125" style="4" customWidth="1"/>
    <col min="33" max="33" width="13.44140625" style="4" customWidth="1"/>
    <col min="34" max="34" width="71.5546875" style="4" customWidth="1"/>
    <col min="35" max="16384" width="8.88671875" style="4"/>
  </cols>
  <sheetData>
    <row r="1" spans="1:10" ht="33.6" x14ac:dyDescent="0.65">
      <c r="D1" s="5" t="str">
        <f ca="1">MID(CELL("filename",A1),FIND("]",CELL("filename",A1))+1,255)</f>
        <v>Format</v>
      </c>
      <c r="F1" s="21" t="s">
        <v>12</v>
      </c>
    </row>
    <row r="3" spans="1:10" x14ac:dyDescent="0.3">
      <c r="A3" s="1" t="s">
        <v>20</v>
      </c>
      <c r="B3" s="1" t="s">
        <v>21</v>
      </c>
      <c r="C3" s="1" t="s">
        <v>0</v>
      </c>
      <c r="D3" s="1" t="s">
        <v>22</v>
      </c>
    </row>
    <row r="4" spans="1:10" x14ac:dyDescent="0.3">
      <c r="A4" s="9"/>
      <c r="B4" s="10"/>
      <c r="C4" s="10"/>
      <c r="D4" s="50"/>
      <c r="E4" s="11"/>
    </row>
    <row r="5" spans="1:10" x14ac:dyDescent="0.3">
      <c r="A5" s="1" t="s">
        <v>8</v>
      </c>
      <c r="B5" s="12"/>
      <c r="C5" s="3"/>
      <c r="D5" s="3"/>
      <c r="E5" s="3"/>
      <c r="F5" s="3"/>
      <c r="G5" s="3"/>
      <c r="H5" s="3"/>
      <c r="I5" s="3"/>
      <c r="J5" s="3"/>
    </row>
    <row r="6" spans="1:10" x14ac:dyDescent="0.3">
      <c r="A6" s="47" t="s">
        <v>9</v>
      </c>
      <c r="B6" s="13"/>
      <c r="C6" s="14"/>
      <c r="D6" s="14"/>
      <c r="E6" s="14"/>
    </row>
    <row r="7" spans="1:10" x14ac:dyDescent="0.3">
      <c r="A7" s="47" t="s">
        <v>3</v>
      </c>
      <c r="B7" s="13"/>
      <c r="C7" s="14"/>
      <c r="D7" s="14"/>
      <c r="E7" s="14"/>
    </row>
    <row r="8" spans="1:10" x14ac:dyDescent="0.3">
      <c r="A8" s="47" t="s">
        <v>17</v>
      </c>
      <c r="B8" s="14"/>
      <c r="D8" s="14"/>
    </row>
    <row r="9" spans="1:10" x14ac:dyDescent="0.3">
      <c r="A9" s="47" t="s">
        <v>18</v>
      </c>
      <c r="B9" s="14"/>
      <c r="D9" s="14"/>
    </row>
    <row r="10" spans="1:10" x14ac:dyDescent="0.3">
      <c r="A10" s="47" t="s">
        <v>19</v>
      </c>
      <c r="B10" s="14"/>
      <c r="D10" s="14"/>
    </row>
    <row r="11" spans="1:10" x14ac:dyDescent="0.3">
      <c r="A11" s="48" t="s">
        <v>0</v>
      </c>
      <c r="B11" s="15"/>
      <c r="C11" s="51">
        <f>SUBTOTAL(109,Table2421028[Field Width])</f>
        <v>1</v>
      </c>
      <c r="D11" s="14"/>
    </row>
    <row r="12" spans="1:10" x14ac:dyDescent="0.3">
      <c r="A12" s="16" t="s">
        <v>23</v>
      </c>
      <c r="B12" s="17" t="s">
        <v>24</v>
      </c>
      <c r="C12" s="18" t="s">
        <v>14</v>
      </c>
      <c r="D12" s="18" t="s">
        <v>11</v>
      </c>
      <c r="E12" s="18" t="s">
        <v>21</v>
      </c>
      <c r="F12" s="2" t="s">
        <v>29</v>
      </c>
      <c r="G12" s="2" t="s">
        <v>15</v>
      </c>
      <c r="H12" t="s">
        <v>16</v>
      </c>
      <c r="I12" t="s">
        <v>3</v>
      </c>
      <c r="J12" s="28" t="s">
        <v>25</v>
      </c>
    </row>
    <row r="13" spans="1:10" x14ac:dyDescent="0.3">
      <c r="A13" s="19"/>
      <c r="B13" s="20">
        <v>1</v>
      </c>
      <c r="C13" s="49"/>
      <c r="D13" s="20" t="s">
        <v>72</v>
      </c>
      <c r="E13" s="20">
        <v>0</v>
      </c>
      <c r="F13" s="19" t="s">
        <v>73</v>
      </c>
      <c r="G13" s="8"/>
      <c r="H13" s="8"/>
      <c r="I13" s="8"/>
      <c r="J13" s="8"/>
    </row>
    <row r="14" spans="1:10" x14ac:dyDescent="0.3">
      <c r="A14" s="29"/>
      <c r="B14" s="26"/>
      <c r="C14" s="26"/>
      <c r="D14" s="31"/>
      <c r="E14" s="30"/>
      <c r="F14" s="31"/>
      <c r="G14" s="26"/>
      <c r="H14" s="28"/>
    </row>
    <row r="15" spans="1:10" x14ac:dyDescent="0.3">
      <c r="A15" s="29"/>
      <c r="B15" s="26"/>
      <c r="C15" s="26"/>
      <c r="D15" s="31"/>
      <c r="E15" s="30"/>
      <c r="F15" s="31"/>
      <c r="G15" s="26"/>
      <c r="H15" s="28"/>
    </row>
    <row r="16" spans="1:10" x14ac:dyDescent="0.3">
      <c r="A16" s="29"/>
      <c r="B16" s="26"/>
      <c r="C16" s="26"/>
      <c r="D16" s="30"/>
      <c r="E16" s="30"/>
      <c r="F16" s="31"/>
      <c r="G16" s="26"/>
      <c r="H16" s="28"/>
    </row>
    <row r="17" spans="1:8" x14ac:dyDescent="0.3">
      <c r="A17" s="29"/>
      <c r="B17" s="26"/>
      <c r="C17" s="26"/>
      <c r="D17" s="30"/>
      <c r="E17" s="30"/>
      <c r="F17" s="31"/>
      <c r="G17" s="26"/>
      <c r="H17" s="28"/>
    </row>
    <row r="18" spans="1:8" x14ac:dyDescent="0.3">
      <c r="A18" s="6" t="s">
        <v>28</v>
      </c>
    </row>
    <row r="19" spans="1:8" x14ac:dyDescent="0.3">
      <c r="A19" s="1" t="s">
        <v>1</v>
      </c>
      <c r="B19" s="7" t="s">
        <v>2</v>
      </c>
      <c r="C19" s="3"/>
      <c r="D19" s="3"/>
      <c r="E19" s="3"/>
    </row>
    <row r="20" spans="1:8" x14ac:dyDescent="0.3">
      <c r="A20" s="22" t="s">
        <v>3</v>
      </c>
      <c r="B20" s="13"/>
      <c r="C20" s="14"/>
      <c r="D20" s="14"/>
      <c r="E20" s="14"/>
    </row>
    <row r="21" spans="1:8" x14ac:dyDescent="0.3">
      <c r="A21" s="22" t="s">
        <v>26</v>
      </c>
      <c r="B21" s="13"/>
      <c r="C21" s="14"/>
      <c r="D21" s="14"/>
      <c r="E21" s="14"/>
    </row>
    <row r="22" spans="1:8" x14ac:dyDescent="0.3">
      <c r="A22" s="22" t="s">
        <v>4</v>
      </c>
      <c r="B22" s="23"/>
      <c r="C22" s="14"/>
      <c r="D22" s="14"/>
      <c r="E22" s="14"/>
    </row>
    <row r="23" spans="1:8" x14ac:dyDescent="0.3">
      <c r="A23" s="22" t="s">
        <v>5</v>
      </c>
      <c r="B23" s="14"/>
      <c r="D23" s="14"/>
    </row>
    <row r="24" spans="1:8" x14ac:dyDescent="0.3">
      <c r="A24" s="22" t="s">
        <v>6</v>
      </c>
      <c r="B24" s="15"/>
      <c r="D24" s="14"/>
    </row>
    <row r="25" spans="1:8" x14ac:dyDescent="0.3">
      <c r="A25" s="22" t="s">
        <v>27</v>
      </c>
      <c r="B25" s="24"/>
      <c r="D25" s="14"/>
    </row>
    <row r="26" spans="1:8" x14ac:dyDescent="0.3">
      <c r="A26" s="16" t="s">
        <v>90</v>
      </c>
      <c r="B26" s="17" t="s">
        <v>74</v>
      </c>
      <c r="C26" s="18" t="s">
        <v>0</v>
      </c>
      <c r="D26" s="18" t="s">
        <v>7</v>
      </c>
      <c r="E26" s="18" t="s">
        <v>3</v>
      </c>
    </row>
    <row r="27" spans="1:8" x14ac:dyDescent="0.3">
      <c r="A27" s="19"/>
      <c r="B27" s="20"/>
      <c r="C27" s="25"/>
      <c r="D27" s="20"/>
      <c r="E27" s="20"/>
    </row>
  </sheetData>
  <sheetProtection selectLockedCells="1"/>
  <dataValidations count="8">
    <dataValidation type="list" allowBlank="1" showInputMessage="1" showErrorMessage="1" sqref="C27 B24 B11" xr:uid="{055897E6-E35B-4078-B197-266622633E3F}">
      <formula1>"GREEN,ORANGE,RED,NA"</formula1>
    </dataValidation>
    <dataValidation type="list" allowBlank="1" showInputMessage="1" showErrorMessage="1" sqref="B25" xr:uid="{1E765592-ADD2-46B9-AF69-267126243D06}">
      <formula1>"cltap, user_tap, htap, taplink_tap, retime_tap, mbist_tap, wtap, reg_only, empty_slot, taplink_empty_slot"</formula1>
    </dataValidation>
    <dataValidation allowBlank="1" showInputMessage="1" showErrorMessage="1" promptTitle="Message" prompt="The cells will be autofilled based on input data (TAP Refresh). " sqref="A4:C4" xr:uid="{CA9E6DE7-DE99-4223-877F-516658C2EBFE}"/>
    <dataValidation type="list" allowBlank="1" showInputMessage="1" showErrorMessage="1" sqref="F13" xr:uid="{1AB2B60E-A804-444E-B946-5A33631D4FEB}">
      <formula1>"Hex, Dec, Bin"</formula1>
    </dataValidation>
    <dataValidation allowBlank="1" showInputMessage="1" showErrorMessage="1" promptTitle="Message" prompt="The cell will be autofilled based on input data (TAP Refresh)." sqref="D4" xr:uid="{BF3E64DB-749D-4017-A05F-7A06E1A6F7AA}"/>
    <dataValidation type="list" allowBlank="1" showInputMessage="1" showErrorMessage="1" sqref="D27" xr:uid="{FCE70DAA-E200-4F8A-86F2-493C08D10F26}">
      <formula1>indexRegChains</formula1>
    </dataValidation>
    <dataValidation allowBlank="1" showErrorMessage="1" promptTitle="Message" prompt="The cell will be autofilled based on input data (TAP Refresh)." sqref="C11" xr:uid="{06A3B8D4-8700-4789-93C6-6166E0AA2C1B}"/>
    <dataValidation type="list" allowBlank="1" showInputMessage="1" showErrorMessage="1" sqref="D13" xr:uid="{BF1E8C41-FF17-4AF7-BA30-25E556C03D8A}">
      <formula1>"RW,RO/V,RO,RW/V,WO,Rsvd"</formula1>
    </dataValidation>
  </dataValidations>
  <hyperlinks>
    <hyperlink ref="F1" location="Contents!A1" display="Back to table of contents" xr:uid="{188C730E-5A4E-4ED1-9822-95CF9593AF8A}"/>
  </hyperlinks>
  <pageMargins left="0.7" right="0.7" top="0.75" bottom="0.75" header="0.3" footer="0.3"/>
  <pageSetup paperSize="9" orientation="portrait" r:id="rId1"/>
  <ignoredErrors>
    <ignoredError sqref="C11" unlockedFormula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ECC0AB-D6AF-45EA-8E30-61976900A7B4}">
          <x14:formula1>
            <xm:f>range!$A$1:$A$2</xm:f>
          </x14:formula1>
          <xm:sqref>B8:B10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84BC6-5DE0-42E7-AA69-32F43C02F897}">
  <sheetPr codeName="Sheet8"/>
  <dimension ref="A1:D3"/>
  <sheetViews>
    <sheetView workbookViewId="0">
      <selection activeCell="D1" sqref="D1"/>
    </sheetView>
  </sheetViews>
  <sheetFormatPr defaultRowHeight="14.4" x14ac:dyDescent="0.3"/>
  <cols>
    <col min="1" max="1" width="10.33203125" bestFit="1" customWidth="1"/>
    <col min="2" max="2" width="19" bestFit="1" customWidth="1"/>
    <col min="3" max="3" width="9.77734375" bestFit="1" customWidth="1"/>
  </cols>
  <sheetData>
    <row r="1" spans="1:4" x14ac:dyDescent="0.3">
      <c r="A1" t="s">
        <v>91</v>
      </c>
      <c r="B1" t="s">
        <v>81</v>
      </c>
      <c r="C1" t="s">
        <v>80</v>
      </c>
    </row>
    <row r="2" spans="1:4" x14ac:dyDescent="0.3">
      <c r="B2" t="s">
        <v>87</v>
      </c>
      <c r="D2" t="s">
        <v>91</v>
      </c>
    </row>
    <row r="3" spans="1:4" x14ac:dyDescent="0.3">
      <c r="D3" t="s">
        <v>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2B56D-E728-4497-9497-3D13E8F61BD9}">
  <sheetPr codeName="Sheet1"/>
  <dimension ref="A1:J18"/>
  <sheetViews>
    <sheetView workbookViewId="0"/>
  </sheetViews>
  <sheetFormatPr defaultRowHeight="14.4" outlineLevelRow="1" x14ac:dyDescent="0.3"/>
  <cols>
    <col min="1" max="1" width="36.109375" customWidth="1"/>
    <col min="2" max="2" width="32" customWidth="1"/>
    <col min="3" max="4" width="14.33203125" bestFit="1" customWidth="1"/>
    <col min="5" max="5" width="23.109375" customWidth="1"/>
    <col min="6" max="6" width="21.77734375" bestFit="1" customWidth="1"/>
    <col min="7" max="7" width="20" customWidth="1"/>
    <col min="8" max="8" width="30.33203125" customWidth="1"/>
    <col min="9" max="9" width="30.88671875" customWidth="1"/>
    <col min="10" max="10" width="15.44140625" customWidth="1"/>
  </cols>
  <sheetData>
    <row r="1" spans="1:10" ht="33.6" x14ac:dyDescent="0.65">
      <c r="D1" s="52" t="str">
        <f ca="1">MID(CELL("filename",A1),FIND("]",CELL("filename",A1))+1,255)</f>
        <v>Registers</v>
      </c>
    </row>
    <row r="5" spans="1:10" x14ac:dyDescent="0.3">
      <c r="A5" s="1" t="s">
        <v>20</v>
      </c>
      <c r="B5" s="1" t="s">
        <v>21</v>
      </c>
      <c r="C5" s="1" t="s">
        <v>0</v>
      </c>
      <c r="D5" s="1" t="s">
        <v>22</v>
      </c>
      <c r="E5" s="4"/>
      <c r="F5" s="4"/>
      <c r="G5" s="4"/>
      <c r="H5" s="4"/>
      <c r="I5" s="4"/>
      <c r="J5" s="4"/>
    </row>
    <row r="6" spans="1:10" x14ac:dyDescent="0.3">
      <c r="A6" s="9" t="s">
        <v>91</v>
      </c>
      <c r="B6" s="10" t="s">
        <v>98</v>
      </c>
      <c r="C6" s="10"/>
      <c r="D6" s="50">
        <v>9</v>
      </c>
      <c r="E6" s="11"/>
      <c r="F6" s="4"/>
      <c r="G6" s="4"/>
      <c r="H6" s="4"/>
      <c r="I6" s="4"/>
      <c r="J6" s="4"/>
    </row>
    <row r="7" spans="1:10" outlineLevel="1" x14ac:dyDescent="0.3">
      <c r="A7" s="1" t="s">
        <v>8</v>
      </c>
      <c r="B7" s="12"/>
      <c r="C7" s="3"/>
      <c r="D7" s="3"/>
      <c r="E7" s="3"/>
      <c r="F7" s="3"/>
      <c r="G7" s="3"/>
      <c r="H7" s="3"/>
      <c r="I7" s="3"/>
      <c r="J7" s="3"/>
    </row>
    <row r="8" spans="1:10" outlineLevel="1" x14ac:dyDescent="0.3">
      <c r="A8" s="47" t="s">
        <v>9</v>
      </c>
      <c r="B8" s="13" t="s">
        <v>91</v>
      </c>
      <c r="C8" s="14"/>
      <c r="D8" s="14"/>
      <c r="E8" s="14"/>
      <c r="F8" s="4"/>
      <c r="G8" s="4"/>
      <c r="H8" s="4"/>
      <c r="I8" s="4"/>
      <c r="J8" s="4"/>
    </row>
    <row r="9" spans="1:10" outlineLevel="1" x14ac:dyDescent="0.3">
      <c r="A9" s="47" t="s">
        <v>3</v>
      </c>
      <c r="B9" s="13" t="s">
        <v>92</v>
      </c>
      <c r="C9" s="14"/>
      <c r="D9" s="14"/>
      <c r="E9" s="14"/>
      <c r="F9" s="4"/>
      <c r="G9" s="4"/>
      <c r="H9" s="4"/>
      <c r="I9" s="4"/>
      <c r="J9" s="4"/>
    </row>
    <row r="10" spans="1:10" outlineLevel="1" x14ac:dyDescent="0.3">
      <c r="A10" s="47" t="s">
        <v>17</v>
      </c>
      <c r="B10" s="14"/>
      <c r="C10" s="4"/>
      <c r="D10" s="14"/>
      <c r="E10" s="4"/>
      <c r="F10" s="4"/>
      <c r="G10" s="4"/>
      <c r="H10" s="4"/>
      <c r="I10" s="4"/>
      <c r="J10" s="4"/>
    </row>
    <row r="11" spans="1:10" outlineLevel="1" x14ac:dyDescent="0.3">
      <c r="A11" s="47" t="s">
        <v>18</v>
      </c>
      <c r="B11" s="14"/>
      <c r="C11" s="4"/>
      <c r="D11" s="14"/>
      <c r="E11" s="4"/>
      <c r="F11" s="4"/>
      <c r="G11" s="4"/>
      <c r="H11" s="4"/>
      <c r="I11" s="4"/>
      <c r="J11" s="4"/>
    </row>
    <row r="12" spans="1:10" outlineLevel="1" x14ac:dyDescent="0.3">
      <c r="A12" s="47" t="s">
        <v>19</v>
      </c>
      <c r="B12" s="14"/>
      <c r="C12" s="4"/>
      <c r="D12" s="14"/>
      <c r="E12" s="4"/>
      <c r="F12" s="4"/>
      <c r="G12" s="4"/>
      <c r="H12" s="4"/>
      <c r="I12" s="4"/>
      <c r="J12" s="4"/>
    </row>
    <row r="13" spans="1:10" outlineLevel="1" x14ac:dyDescent="0.3">
      <c r="A13" s="48" t="s">
        <v>0</v>
      </c>
      <c r="B13" s="15"/>
      <c r="C13" s="51">
        <f>SUBTOTAL(109,Table24210282[Field Width])</f>
        <v>9</v>
      </c>
      <c r="D13" s="14"/>
      <c r="E13" s="4"/>
      <c r="F13" s="4"/>
      <c r="G13" s="4"/>
      <c r="H13" s="4"/>
      <c r="I13" s="4"/>
      <c r="J13" s="4"/>
    </row>
    <row r="14" spans="1:10" outlineLevel="1" x14ac:dyDescent="0.3">
      <c r="A14" s="16" t="s">
        <v>23</v>
      </c>
      <c r="B14" s="17" t="s">
        <v>24</v>
      </c>
      <c r="C14" s="18" t="s">
        <v>14</v>
      </c>
      <c r="D14" s="18" t="s">
        <v>11</v>
      </c>
      <c r="E14" s="18" t="s">
        <v>21</v>
      </c>
      <c r="F14" s="2" t="s">
        <v>29</v>
      </c>
      <c r="G14" s="2" t="s">
        <v>15</v>
      </c>
      <c r="H14" t="s">
        <v>16</v>
      </c>
      <c r="I14" t="s">
        <v>3</v>
      </c>
      <c r="J14" s="28" t="s">
        <v>25</v>
      </c>
    </row>
    <row r="15" spans="1:10" outlineLevel="1" x14ac:dyDescent="0.3">
      <c r="A15" s="19" t="s">
        <v>93</v>
      </c>
      <c r="B15" s="20">
        <v>8</v>
      </c>
      <c r="C15" s="49" t="s">
        <v>97</v>
      </c>
      <c r="D15" s="20" t="s">
        <v>72</v>
      </c>
      <c r="E15" s="20" t="s">
        <v>94</v>
      </c>
      <c r="F15" s="19" t="s">
        <v>73</v>
      </c>
      <c r="G15" s="8"/>
      <c r="H15" s="8"/>
      <c r="I15" s="8" t="s">
        <v>95</v>
      </c>
      <c r="J15" s="8"/>
    </row>
    <row r="16" spans="1:10" s="4" customFormat="1" outlineLevel="1" x14ac:dyDescent="0.3">
      <c r="A16" s="57" t="s">
        <v>96</v>
      </c>
      <c r="B16" s="54">
        <v>1</v>
      </c>
      <c r="C16" s="55" t="s">
        <v>77</v>
      </c>
      <c r="D16" s="56" t="s">
        <v>72</v>
      </c>
      <c r="E16" s="56">
        <v>0</v>
      </c>
      <c r="F16" s="53" t="s">
        <v>73</v>
      </c>
      <c r="G16" s="54"/>
      <c r="H16" s="54"/>
      <c r="I16" s="54" t="s">
        <v>95</v>
      </c>
      <c r="J16" s="54"/>
    </row>
    <row r="17" spans="1:10" outlineLevel="1" x14ac:dyDescent="0.3">
      <c r="A17" s="29"/>
      <c r="B17" s="26"/>
      <c r="C17" s="26"/>
      <c r="D17" s="31"/>
      <c r="E17" s="30"/>
      <c r="F17" s="31"/>
      <c r="G17" s="26"/>
      <c r="H17" s="28"/>
      <c r="I17" s="4"/>
      <c r="J17" s="4"/>
    </row>
    <row r="18" spans="1:10" x14ac:dyDescent="0.3">
      <c r="A18" s="29"/>
      <c r="B18" s="26"/>
      <c r="C18" s="26"/>
      <c r="D18" s="31"/>
      <c r="E18" s="30"/>
      <c r="F18" s="31"/>
      <c r="G18" s="26"/>
      <c r="H18" s="28"/>
      <c r="I18" s="4"/>
      <c r="J18" s="4"/>
    </row>
  </sheetData>
  <dataValidations count="6">
    <dataValidation type="list" allowBlank="1" showInputMessage="1" showErrorMessage="1" sqref="D15:D16" xr:uid="{5488914C-E684-4612-9599-88CE254765CF}">
      <formula1>"RW,RO/V,RO,RW/V,WO,Rsvd"</formula1>
    </dataValidation>
    <dataValidation allowBlank="1" showErrorMessage="1" promptTitle="Message" prompt="The cell will be autofilled based on input data (TAP Refresh)." sqref="C13" xr:uid="{BA2AD10E-BA27-424C-B877-4E8FE4E3BFB5}"/>
    <dataValidation allowBlank="1" showInputMessage="1" showErrorMessage="1" promptTitle="Message" prompt="The cell will be autofilled based on input data (TAP Refresh)." sqref="D6" xr:uid="{5256F7D9-B818-474C-BC15-31CB9BF7623E}"/>
    <dataValidation type="list" allowBlank="1" showInputMessage="1" showErrorMessage="1" sqref="F15:F16" xr:uid="{5D495A14-1ADD-42D7-8B65-50365C1B6EE9}">
      <formula1>"Hex, Dec, Bin"</formula1>
    </dataValidation>
    <dataValidation allowBlank="1" showInputMessage="1" showErrorMessage="1" promptTitle="Message" prompt="The cells will be autofilled based on input data (TAP Refresh). " sqref="A6:C6" xr:uid="{654EBB71-C6B3-4B34-B6C5-C7E46E28D9DB}"/>
    <dataValidation type="list" allowBlank="1" showInputMessage="1" showErrorMessage="1" sqref="B13" xr:uid="{D920797F-E970-44AF-ADE6-A6B57390CAF9}">
      <formula1>"GREEN,ORANGE,RED,NA"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E64E58-EF20-490C-B543-AE1E02120020}">
          <x14:formula1>
            <xm:f>range!$A$1:$A$2</xm:f>
          </x14:formula1>
          <xm:sqref>B10:B12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24655-187C-45E3-805F-8B14F2B79C25}">
  <sheetPr codeName="Sheet2"/>
  <dimension ref="A1:F31"/>
  <sheetViews>
    <sheetView workbookViewId="0"/>
  </sheetViews>
  <sheetFormatPr defaultRowHeight="14.4" outlineLevelRow="1" x14ac:dyDescent="0.3"/>
  <cols>
    <col min="1" max="1" width="36.109375" customWidth="1"/>
    <col min="2" max="2" width="32" customWidth="1"/>
    <col min="3" max="4" width="14.33203125" bestFit="1" customWidth="1"/>
    <col min="5" max="5" width="23.109375" customWidth="1"/>
    <col min="6" max="6" width="21.77734375" bestFit="1" customWidth="1"/>
  </cols>
  <sheetData>
    <row r="1" spans="1:6" ht="33.6" x14ac:dyDescent="0.65">
      <c r="D1" s="52" t="str">
        <f ca="1">MID(CELL("filename",A1),FIND("]",CELL("filename",A1))+1,255)</f>
        <v>TAPs</v>
      </c>
    </row>
    <row r="5" spans="1:6" x14ac:dyDescent="0.3">
      <c r="A5" s="6" t="s">
        <v>81</v>
      </c>
      <c r="B5" s="4"/>
      <c r="C5" s="4"/>
      <c r="D5" s="4"/>
      <c r="E5" s="4"/>
      <c r="F5" s="4"/>
    </row>
    <row r="6" spans="1:6" outlineLevel="1" x14ac:dyDescent="0.3">
      <c r="A6" s="1" t="s">
        <v>1</v>
      </c>
      <c r="B6" s="7" t="s">
        <v>2</v>
      </c>
      <c r="C6" s="3"/>
      <c r="D6" s="3"/>
      <c r="E6" s="3"/>
      <c r="F6" s="4"/>
    </row>
    <row r="7" spans="1:6" outlineLevel="1" x14ac:dyDescent="0.3">
      <c r="A7" s="22" t="s">
        <v>3</v>
      </c>
      <c r="B7" s="13"/>
      <c r="C7" s="14"/>
      <c r="D7" s="14"/>
      <c r="E7" s="14"/>
      <c r="F7" s="4"/>
    </row>
    <row r="8" spans="1:6" outlineLevel="1" x14ac:dyDescent="0.3">
      <c r="A8" s="22" t="s">
        <v>26</v>
      </c>
      <c r="B8" s="13" t="s">
        <v>82</v>
      </c>
      <c r="C8" s="14"/>
      <c r="D8" s="14"/>
      <c r="E8" s="14"/>
      <c r="F8" s="4"/>
    </row>
    <row r="9" spans="1:6" outlineLevel="1" x14ac:dyDescent="0.3">
      <c r="A9" s="22" t="s">
        <v>4</v>
      </c>
      <c r="B9" s="23" t="s">
        <v>104</v>
      </c>
      <c r="C9" s="14"/>
      <c r="D9" s="14"/>
      <c r="E9" s="14"/>
      <c r="F9" s="4"/>
    </row>
    <row r="10" spans="1:6" outlineLevel="1" x14ac:dyDescent="0.3">
      <c r="A10" s="22" t="s">
        <v>5</v>
      </c>
      <c r="B10" s="14">
        <v>1</v>
      </c>
      <c r="C10" s="4"/>
      <c r="D10" s="14"/>
      <c r="E10" s="4"/>
      <c r="F10" s="4"/>
    </row>
    <row r="11" spans="1:6" outlineLevel="1" x14ac:dyDescent="0.3">
      <c r="A11" s="22" t="s">
        <v>6</v>
      </c>
      <c r="B11" s="15" t="s">
        <v>86</v>
      </c>
      <c r="C11" s="4"/>
      <c r="D11" s="14"/>
      <c r="E11" s="4"/>
      <c r="F11" s="4"/>
    </row>
    <row r="12" spans="1:6" outlineLevel="1" x14ac:dyDescent="0.3">
      <c r="A12" s="22" t="s">
        <v>27</v>
      </c>
      <c r="B12" s="24"/>
      <c r="C12" s="4"/>
      <c r="D12" s="14"/>
      <c r="E12" s="4"/>
      <c r="F12" s="4"/>
    </row>
    <row r="13" spans="1:6" outlineLevel="1" x14ac:dyDescent="0.3">
      <c r="A13" s="16" t="s">
        <v>90</v>
      </c>
      <c r="B13" s="17" t="s">
        <v>74</v>
      </c>
      <c r="C13" s="18" t="s">
        <v>0</v>
      </c>
      <c r="D13" s="18" t="s">
        <v>7</v>
      </c>
      <c r="E13" s="18" t="s">
        <v>3</v>
      </c>
      <c r="F13" s="4"/>
    </row>
    <row r="14" spans="1:6" outlineLevel="1" x14ac:dyDescent="0.3">
      <c r="A14" s="19" t="s">
        <v>78</v>
      </c>
      <c r="B14" s="20">
        <v>55</v>
      </c>
      <c r="C14" s="25" t="s">
        <v>86</v>
      </c>
      <c r="D14" s="20" t="s">
        <v>91</v>
      </c>
      <c r="E14" s="20" t="s">
        <v>84</v>
      </c>
      <c r="F14" s="4"/>
    </row>
    <row r="15" spans="1:6" outlineLevel="1" x14ac:dyDescent="0.3">
      <c r="A15" s="57" t="s">
        <v>79</v>
      </c>
      <c r="B15" s="54">
        <v>2</v>
      </c>
      <c r="C15" s="58" t="s">
        <v>75</v>
      </c>
      <c r="D15" s="56" t="s">
        <v>91</v>
      </c>
      <c r="E15" s="56" t="s">
        <v>85</v>
      </c>
      <c r="F15" s="4"/>
    </row>
    <row r="16" spans="1:6" s="4" customFormat="1" outlineLevel="1" x14ac:dyDescent="0.3">
      <c r="A16" s="57" t="s">
        <v>100</v>
      </c>
      <c r="B16" s="54">
        <v>3</v>
      </c>
      <c r="C16" s="58" t="s">
        <v>86</v>
      </c>
      <c r="D16" s="56" t="s">
        <v>80</v>
      </c>
      <c r="E16" s="56" t="s">
        <v>99</v>
      </c>
    </row>
    <row r="17" spans="1:6" outlineLevel="1" x14ac:dyDescent="0.3">
      <c r="A17" s="4"/>
      <c r="B17" s="4"/>
      <c r="C17" s="4"/>
      <c r="D17" s="4"/>
      <c r="E17" s="4"/>
      <c r="F17" s="4"/>
    </row>
    <row r="20" spans="1:6" x14ac:dyDescent="0.3">
      <c r="A20" s="6" t="s">
        <v>87</v>
      </c>
      <c r="B20" s="4"/>
      <c r="C20" s="4"/>
      <c r="D20" s="4"/>
      <c r="E20" s="4"/>
      <c r="F20" s="4"/>
    </row>
    <row r="21" spans="1:6" outlineLevel="1" x14ac:dyDescent="0.3">
      <c r="A21" s="1" t="s">
        <v>1</v>
      </c>
      <c r="B21" s="7" t="s">
        <v>2</v>
      </c>
      <c r="C21" s="3"/>
      <c r="D21" s="3"/>
      <c r="E21" s="3"/>
      <c r="F21" s="4"/>
    </row>
    <row r="22" spans="1:6" outlineLevel="1" x14ac:dyDescent="0.3">
      <c r="A22" s="22" t="s">
        <v>3</v>
      </c>
      <c r="B22" s="13"/>
      <c r="C22" s="14"/>
      <c r="D22" s="14"/>
      <c r="E22" s="14"/>
      <c r="F22" s="4"/>
    </row>
    <row r="23" spans="1:6" outlineLevel="1" x14ac:dyDescent="0.3">
      <c r="A23" s="22" t="s">
        <v>26</v>
      </c>
      <c r="B23" s="13" t="s">
        <v>82</v>
      </c>
      <c r="C23" s="14"/>
      <c r="D23" s="14"/>
      <c r="E23" s="14"/>
      <c r="F23" s="4"/>
    </row>
    <row r="24" spans="1:6" outlineLevel="1" x14ac:dyDescent="0.3">
      <c r="A24" s="22" t="s">
        <v>4</v>
      </c>
      <c r="B24" s="23"/>
      <c r="C24" s="14"/>
      <c r="D24" s="14"/>
      <c r="E24" s="14"/>
      <c r="F24" s="4"/>
    </row>
    <row r="25" spans="1:6" outlineLevel="1" x14ac:dyDescent="0.3">
      <c r="A25" s="22" t="s">
        <v>5</v>
      </c>
      <c r="B25" s="14"/>
      <c r="C25" s="4"/>
      <c r="D25" s="14"/>
      <c r="E25" s="4"/>
      <c r="F25" s="4"/>
    </row>
    <row r="26" spans="1:6" outlineLevel="1" x14ac:dyDescent="0.3">
      <c r="A26" s="22" t="s">
        <v>6</v>
      </c>
      <c r="B26" s="15"/>
      <c r="C26" s="4"/>
      <c r="D26" s="14"/>
      <c r="E26" s="4"/>
      <c r="F26" s="4"/>
    </row>
    <row r="27" spans="1:6" outlineLevel="1" x14ac:dyDescent="0.3">
      <c r="A27" s="22" t="s">
        <v>27</v>
      </c>
      <c r="B27" s="24" t="s">
        <v>83</v>
      </c>
      <c r="C27" s="4"/>
      <c r="D27" s="14"/>
      <c r="E27" s="4"/>
      <c r="F27" s="4"/>
    </row>
    <row r="28" spans="1:6" outlineLevel="1" x14ac:dyDescent="0.3">
      <c r="A28" s="16" t="s">
        <v>90</v>
      </c>
      <c r="B28" s="17" t="s">
        <v>74</v>
      </c>
      <c r="C28" s="18" t="s">
        <v>0</v>
      </c>
      <c r="D28" s="18" t="s">
        <v>7</v>
      </c>
      <c r="E28" s="18" t="s">
        <v>3</v>
      </c>
      <c r="F28" s="4"/>
    </row>
    <row r="29" spans="1:6" outlineLevel="1" x14ac:dyDescent="0.3">
      <c r="A29" s="19" t="s">
        <v>78</v>
      </c>
      <c r="B29" s="20">
        <v>0</v>
      </c>
      <c r="C29" s="25" t="s">
        <v>76</v>
      </c>
      <c r="D29" s="20" t="s">
        <v>91</v>
      </c>
      <c r="E29" s="20"/>
      <c r="F29" s="4"/>
    </row>
    <row r="30" spans="1:6" outlineLevel="1" x14ac:dyDescent="0.3">
      <c r="A30" s="57" t="s">
        <v>79</v>
      </c>
      <c r="B30" s="54">
        <v>2</v>
      </c>
      <c r="C30" s="58" t="s">
        <v>75</v>
      </c>
      <c r="D30" s="56" t="s">
        <v>91</v>
      </c>
      <c r="E30" s="56"/>
      <c r="F30" s="4"/>
    </row>
    <row r="31" spans="1:6" outlineLevel="1" x14ac:dyDescent="0.3">
      <c r="A31" s="4"/>
      <c r="B31" s="4"/>
      <c r="C31" s="4"/>
      <c r="D31" s="4"/>
      <c r="E31" s="4"/>
      <c r="F31" s="4"/>
    </row>
  </sheetData>
  <dataValidations count="3">
    <dataValidation type="list" allowBlank="1" showInputMessage="1" showErrorMessage="1" sqref="D29:D30 D14:D16" xr:uid="{4B060094-0109-4055-8F0E-BA75FD102F56}">
      <formula1>indexRegChains</formula1>
    </dataValidation>
    <dataValidation type="list" allowBlank="1" showInputMessage="1" showErrorMessage="1" sqref="B12 B27" xr:uid="{7A10F41B-B8C2-4371-9BFD-1AD287174833}">
      <formula1>"cltap, user_tap, htap, taplink_tap, retime_tap, mbist_tap, wtap, reg_only, empty_slot, taplink_empty_slot"</formula1>
    </dataValidation>
    <dataValidation type="list" allowBlank="1" showInputMessage="1" showErrorMessage="1" sqref="B26 B11 C29:C30 C14:C16" xr:uid="{7FA261AB-422A-4D96-A7F2-BB53BEB689C3}">
      <formula1>"GREEN,ORANGE,RED,NA"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C46A4-B410-410E-BC13-1897EDC29667}">
  <sheetPr codeName="Sheet4"/>
  <dimension ref="A1:H15"/>
  <sheetViews>
    <sheetView workbookViewId="0"/>
  </sheetViews>
  <sheetFormatPr defaultRowHeight="14.4" outlineLevelRow="1" x14ac:dyDescent="0.3"/>
  <sheetData>
    <row r="1" spans="1:8" ht="33.6" x14ac:dyDescent="0.65">
      <c r="D1" s="52" t="str">
        <f ca="1">MID(CELL("filename",A1),FIND("]",CELL("filename",A1))+1,255)</f>
        <v>Chains</v>
      </c>
    </row>
    <row r="3" spans="1:8" x14ac:dyDescent="0.3">
      <c r="A3" s="39" t="s">
        <v>32</v>
      </c>
      <c r="B3" s="40" t="s">
        <v>33</v>
      </c>
      <c r="C3" s="40" t="s">
        <v>34</v>
      </c>
      <c r="D3" s="40" t="s">
        <v>35</v>
      </c>
      <c r="E3" s="40" t="s">
        <v>36</v>
      </c>
      <c r="F3" s="40" t="s">
        <v>37</v>
      </c>
      <c r="G3" s="40" t="s">
        <v>38</v>
      </c>
      <c r="H3" s="40" t="s">
        <v>39</v>
      </c>
    </row>
    <row r="7" spans="1:8" x14ac:dyDescent="0.3">
      <c r="A7" s="32" t="s">
        <v>80</v>
      </c>
      <c r="B7" s="33"/>
    </row>
    <row r="8" spans="1:8" outlineLevel="1" x14ac:dyDescent="0.3">
      <c r="A8" s="34" t="s">
        <v>30</v>
      </c>
    </row>
    <row r="9" spans="1:8" outlineLevel="1" x14ac:dyDescent="0.3">
      <c r="A9" s="35" t="s">
        <v>78</v>
      </c>
      <c r="B9" s="36" t="s">
        <v>91</v>
      </c>
    </row>
    <row r="10" spans="1:8" outlineLevel="1" x14ac:dyDescent="0.3">
      <c r="C10" s="37" t="s">
        <v>102</v>
      </c>
      <c r="D10" s="38" t="s">
        <v>106</v>
      </c>
    </row>
    <row r="11" spans="1:8" outlineLevel="1" x14ac:dyDescent="0.3">
      <c r="E11" s="37" t="s">
        <v>101</v>
      </c>
      <c r="F11" s="38" t="s">
        <v>106</v>
      </c>
    </row>
    <row r="12" spans="1:8" outlineLevel="1" x14ac:dyDescent="0.3">
      <c r="A12" s="35" t="s">
        <v>79</v>
      </c>
      <c r="B12" s="36" t="s">
        <v>91</v>
      </c>
    </row>
    <row r="13" spans="1:8" outlineLevel="1" x14ac:dyDescent="0.3">
      <c r="C13" s="37" t="s">
        <v>103</v>
      </c>
      <c r="D13" s="38" t="s">
        <v>106</v>
      </c>
    </row>
    <row r="14" spans="1:8" outlineLevel="1" x14ac:dyDescent="0.3">
      <c r="E14" s="37" t="s">
        <v>105</v>
      </c>
      <c r="F14" s="38" t="s">
        <v>106</v>
      </c>
    </row>
    <row r="15" spans="1:8" outlineLevel="1" x14ac:dyDescent="0.3">
      <c r="A15" s="34" t="s">
        <v>31</v>
      </c>
      <c r="B15" s="33"/>
    </row>
  </sheetData>
  <dataValidations count="1">
    <dataValidation type="list" allowBlank="1" showInputMessage="1" showErrorMessage="1" sqref="B9 B12" xr:uid="{73AD29C7-14D5-4D05-BC00-8C8F7387A61F}">
      <formula1>indexReg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1A77-CF3B-448B-BF4E-6D800E9ECFB4}">
  <sheetPr codeName="Sheet5"/>
  <dimension ref="A1:L28"/>
  <sheetViews>
    <sheetView workbookViewId="0">
      <selection activeCell="B9" sqref="B9"/>
    </sheetView>
  </sheetViews>
  <sheetFormatPr defaultRowHeight="14.4" x14ac:dyDescent="0.3"/>
  <cols>
    <col min="1" max="1" width="26.44140625" bestFit="1" customWidth="1"/>
    <col min="2" max="2" width="19.77734375" customWidth="1"/>
    <col min="3" max="3" width="19.88671875" bestFit="1" customWidth="1"/>
    <col min="4" max="4" width="12.77734375" bestFit="1" customWidth="1"/>
    <col min="5" max="5" width="10.33203125" bestFit="1" customWidth="1"/>
    <col min="6" max="6" width="19" bestFit="1" customWidth="1"/>
    <col min="7" max="7" width="14" bestFit="1" customWidth="1"/>
    <col min="8" max="8" width="11.109375" bestFit="1" customWidth="1"/>
    <col min="9" max="9" width="12.6640625" bestFit="1" customWidth="1"/>
    <col min="10" max="10" width="10.109375" bestFit="1" customWidth="1"/>
    <col min="11" max="12" width="14.5546875" bestFit="1" customWidth="1"/>
  </cols>
  <sheetData>
    <row r="1" spans="1:12" ht="33.6" x14ac:dyDescent="0.65">
      <c r="D1" s="52" t="str">
        <f ca="1">MID(CELL("filename",A1),FIND("]",CELL("filename",A1))+1,255)</f>
        <v>TOP</v>
      </c>
    </row>
    <row r="3" spans="1:12" x14ac:dyDescent="0.3">
      <c r="A3" s="41" t="s">
        <v>41</v>
      </c>
    </row>
    <row r="4" spans="1:12" x14ac:dyDescent="0.3">
      <c r="A4" s="43" t="s">
        <v>42</v>
      </c>
      <c r="B4" s="44" t="s">
        <v>7</v>
      </c>
      <c r="C4" s="45" t="s">
        <v>0</v>
      </c>
      <c r="D4" s="45" t="s">
        <v>44</v>
      </c>
      <c r="E4" s="46" t="s">
        <v>45</v>
      </c>
      <c r="F4" s="46" t="s">
        <v>46</v>
      </c>
      <c r="G4" t="s">
        <v>47</v>
      </c>
      <c r="H4" s="28" t="s">
        <v>48</v>
      </c>
      <c r="I4" s="28" t="s">
        <v>3</v>
      </c>
    </row>
    <row r="5" spans="1:12" x14ac:dyDescent="0.3">
      <c r="A5" s="19" t="s">
        <v>111</v>
      </c>
      <c r="B5" s="20" t="s">
        <v>81</v>
      </c>
      <c r="C5" s="25" t="s">
        <v>86</v>
      </c>
      <c r="D5" s="8" t="s">
        <v>107</v>
      </c>
      <c r="E5" s="8" t="s">
        <v>108</v>
      </c>
      <c r="F5" s="8" t="s">
        <v>109</v>
      </c>
      <c r="G5" s="8" t="s">
        <v>109</v>
      </c>
      <c r="H5" s="8" t="s">
        <v>110</v>
      </c>
      <c r="I5" s="27"/>
    </row>
    <row r="6" spans="1:12" x14ac:dyDescent="0.3">
      <c r="A6" s="57" t="s">
        <v>112</v>
      </c>
      <c r="B6" s="54" t="s">
        <v>87</v>
      </c>
      <c r="C6" s="58" t="s">
        <v>76</v>
      </c>
      <c r="D6" s="8" t="s">
        <v>107</v>
      </c>
      <c r="E6" s="8" t="s">
        <v>108</v>
      </c>
      <c r="F6" s="8" t="s">
        <v>109</v>
      </c>
      <c r="G6" s="8" t="s">
        <v>109</v>
      </c>
      <c r="H6" s="8" t="s">
        <v>110</v>
      </c>
      <c r="I6" s="54"/>
    </row>
    <row r="8" spans="1:12" x14ac:dyDescent="0.3">
      <c r="A8" s="41" t="s">
        <v>49</v>
      </c>
    </row>
    <row r="9" spans="1:12" x14ac:dyDescent="0.3">
      <c r="A9" s="43" t="s">
        <v>42</v>
      </c>
      <c r="B9" s="44" t="s">
        <v>7</v>
      </c>
      <c r="C9" s="45" t="s">
        <v>0</v>
      </c>
      <c r="D9" s="45" t="s">
        <v>113</v>
      </c>
      <c r="E9" s="46" t="s">
        <v>114</v>
      </c>
      <c r="F9" s="46" t="s">
        <v>115</v>
      </c>
      <c r="G9" s="46" t="s">
        <v>116</v>
      </c>
      <c r="H9" t="s">
        <v>117</v>
      </c>
      <c r="I9" s="28" t="s">
        <v>118</v>
      </c>
      <c r="J9" s="28" t="s">
        <v>119</v>
      </c>
      <c r="K9" s="28" t="s">
        <v>120</v>
      </c>
      <c r="L9" s="28" t="s">
        <v>3</v>
      </c>
    </row>
    <row r="10" spans="1:12" x14ac:dyDescent="0.3">
      <c r="A10" s="8" t="s">
        <v>130</v>
      </c>
      <c r="B10" s="20" t="s">
        <v>80</v>
      </c>
      <c r="C10" s="25" t="s">
        <v>86</v>
      </c>
      <c r="D10" s="8" t="s">
        <v>121</v>
      </c>
      <c r="E10" s="8" t="s">
        <v>122</v>
      </c>
      <c r="F10" s="8" t="s">
        <v>123</v>
      </c>
      <c r="G10" s="8" t="s">
        <v>124</v>
      </c>
      <c r="H10" s="8" t="s">
        <v>125</v>
      </c>
      <c r="I10" s="8" t="s">
        <v>126</v>
      </c>
      <c r="J10" s="8" t="s">
        <v>127</v>
      </c>
      <c r="K10" s="8" t="s">
        <v>128</v>
      </c>
      <c r="L10" s="8" t="s">
        <v>129</v>
      </c>
    </row>
    <row r="12" spans="1:12" x14ac:dyDescent="0.3">
      <c r="A12" s="41" t="s">
        <v>50</v>
      </c>
    </row>
    <row r="13" spans="1:12" x14ac:dyDescent="0.3">
      <c r="A13" s="43" t="s">
        <v>51</v>
      </c>
      <c r="B13" s="44" t="s">
        <v>52</v>
      </c>
      <c r="C13" s="45" t="s">
        <v>53</v>
      </c>
      <c r="D13" s="45" t="s">
        <v>54</v>
      </c>
      <c r="E13" s="45" t="s">
        <v>55</v>
      </c>
      <c r="F13" s="46" t="s">
        <v>56</v>
      </c>
      <c r="G13" s="46" t="s">
        <v>57</v>
      </c>
    </row>
    <row r="14" spans="1:12" x14ac:dyDescent="0.3">
      <c r="A14" s="8" t="s">
        <v>131</v>
      </c>
      <c r="B14" s="8" t="s">
        <v>132</v>
      </c>
      <c r="C14" s="8">
        <v>32</v>
      </c>
      <c r="D14" s="8" t="s">
        <v>133</v>
      </c>
      <c r="E14" s="8" t="s">
        <v>134</v>
      </c>
      <c r="F14" s="19"/>
      <c r="G14" s="8"/>
    </row>
    <row r="15" spans="1:12" x14ac:dyDescent="0.3">
      <c r="A15" s="57" t="s">
        <v>131</v>
      </c>
      <c r="B15" s="8" t="s">
        <v>135</v>
      </c>
      <c r="C15" s="8">
        <v>4</v>
      </c>
      <c r="D15" s="8" t="s">
        <v>136</v>
      </c>
      <c r="E15" s="56"/>
      <c r="F15" s="53"/>
      <c r="G15" s="54"/>
    </row>
    <row r="17" spans="1:7" x14ac:dyDescent="0.3">
      <c r="A17" s="41" t="s">
        <v>58</v>
      </c>
    </row>
    <row r="18" spans="1:7" x14ac:dyDescent="0.3">
      <c r="A18" s="43" t="s">
        <v>52</v>
      </c>
      <c r="B18" s="44" t="s">
        <v>53</v>
      </c>
      <c r="C18" s="45" t="s">
        <v>0</v>
      </c>
      <c r="D18" s="45" t="s">
        <v>59</v>
      </c>
      <c r="E18" s="45" t="s">
        <v>29</v>
      </c>
      <c r="F18" s="46" t="s">
        <v>60</v>
      </c>
      <c r="G18" s="46" t="s">
        <v>3</v>
      </c>
    </row>
    <row r="19" spans="1:7" x14ac:dyDescent="0.3">
      <c r="A19" s="19"/>
      <c r="B19" s="20"/>
      <c r="C19" s="25"/>
      <c r="D19" s="20">
        <v>0</v>
      </c>
      <c r="E19" s="19" t="s">
        <v>73</v>
      </c>
      <c r="F19" s="19"/>
      <c r="G19" s="8"/>
    </row>
    <row r="21" spans="1:7" x14ac:dyDescent="0.3">
      <c r="A21" s="42" t="s">
        <v>61</v>
      </c>
    </row>
    <row r="22" spans="1:7" x14ac:dyDescent="0.3">
      <c r="A22" s="43" t="s">
        <v>52</v>
      </c>
      <c r="B22" s="44" t="s">
        <v>53</v>
      </c>
      <c r="C22" s="45" t="s">
        <v>0</v>
      </c>
      <c r="D22" s="45" t="s">
        <v>59</v>
      </c>
      <c r="E22" s="45" t="s">
        <v>29</v>
      </c>
      <c r="F22" s="46" t="s">
        <v>60</v>
      </c>
      <c r="G22" s="46" t="s">
        <v>3</v>
      </c>
    </row>
    <row r="23" spans="1:7" x14ac:dyDescent="0.3">
      <c r="A23" s="19"/>
      <c r="B23" s="20"/>
      <c r="C23" s="25"/>
      <c r="D23" s="20">
        <v>0</v>
      </c>
      <c r="E23" s="19" t="s">
        <v>73</v>
      </c>
      <c r="F23" s="19"/>
      <c r="G23" s="8"/>
    </row>
    <row r="25" spans="1:7" x14ac:dyDescent="0.3">
      <c r="A25" s="41" t="s">
        <v>62</v>
      </c>
    </row>
    <row r="26" spans="1:7" x14ac:dyDescent="0.3">
      <c r="A26" s="42" t="s">
        <v>61</v>
      </c>
    </row>
    <row r="27" spans="1:7" x14ac:dyDescent="0.3">
      <c r="A27" s="43" t="s">
        <v>52</v>
      </c>
      <c r="B27" s="44" t="s">
        <v>53</v>
      </c>
      <c r="C27" s="45" t="s">
        <v>63</v>
      </c>
      <c r="D27" s="45" t="s">
        <v>3</v>
      </c>
    </row>
    <row r="28" spans="1:7" x14ac:dyDescent="0.3">
      <c r="A28" s="19"/>
      <c r="B28" s="20"/>
      <c r="C28" s="20"/>
      <c r="D28" s="20"/>
    </row>
  </sheetData>
  <dataValidations count="7">
    <dataValidation type="list" allowBlank="1" showInputMessage="1" showErrorMessage="1" sqref="E19 E23" xr:uid="{D8FF5EF2-1946-4E5E-8955-76CE7733E0E3}">
      <formula1>"Hex, Dec, Bin"</formula1>
    </dataValidation>
    <dataValidation type="list" allowBlank="1" showInputMessage="1" showErrorMessage="1" sqref="B10" xr:uid="{36395569-F5D1-4922-B4DA-AF3E13E114EF}">
      <formula1>indexChains</formula1>
    </dataValidation>
    <dataValidation type="list" allowBlank="1" showInputMessage="1" showErrorMessage="1" sqref="B5:B6" xr:uid="{6EF4137F-5EAF-4174-843D-2E6A1876CCA7}">
      <formula1>indexTap</formula1>
    </dataValidation>
    <dataValidation type="list" allowBlank="1" showInputMessage="1" showErrorMessage="1" sqref="C23 C10 C19 C5:C6" xr:uid="{D02F49FA-F5EF-45B7-83AC-EC6FB1A48894}">
      <formula1>"GREEN,ORANGE,RED,NA"</formula1>
    </dataValidation>
    <dataValidation type="list" allowBlank="1" showInputMessage="1" showErrorMessage="1" sqref="D28" xr:uid="{8F0F703D-919D-415E-A6C6-49CCB2E42234}">
      <formula1>"RO,RW,RO/V,RW/V,Rsvd"</formula1>
    </dataValidation>
    <dataValidation type="list" allowBlank="1" showInputMessage="1" showErrorMessage="1" sqref="D14:D15" xr:uid="{E47BECE7-7E08-492B-9A2F-F6C1C9DF744F}">
      <formula1>"powergood, powergood_b, tlr_reset, tlr_reset_b,security,slvidcode"</formula1>
    </dataValidation>
    <dataValidation type="list" allowBlank="1" showInputMessage="1" showErrorMessage="1" sqref="A14:A15" xr:uid="{1A06C744-C5EE-46EB-984E-A92836D31ED6}">
      <formula1>"DataInPort, ResetPort, ClockPort"</formula1>
    </dataValidation>
  </dataValidations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customUI/my_customUI.xml><?xml version="1.0" encoding="utf-8"?>
<customUI xmlns="http://schemas.microsoft.com/office/2009/07/customui">
  <ribbon>
    <tabs>
      <tab id="first_tab" label="TAP Spec">
        <group id="group1" label="Registers">
          <button id="button1" label="TDR Definition" imageMso="QueryShowTable" size="large" onAction="TDR_DEF"/>
          <button id="button1_1" label="Insert TDR Field" imageMso="TableRowsInsertWord" size="large" onAction="TDR_FIELD_INSERT"/>
          <button id="button2" label="TDR Refresh" imageMso="Refresh" size="large" onAction="TAP_reg_refresh"/>
          <button id="button3" label="Expand Groups" imageMso="OutlineExpandAll" size="large" onAction="Expand_All"/>
          <button id="button4" label="Collapse Groups" imageMso="CollapseAll" size="large" onAction="Collapse_All"/>
          <button id="button5" label="Use Hex" imageMso="CalculationOptionsMenu" size="large" onAction="ConvertToHex"/>
          <button id="button6" label="Use Dec" imageMso="CalculationOptionsMenu" size="large" onAction="ConvertToDec"/>
          <button id="button7" label="Use Bin" imageMso="CalculationOptionsMenu" size="large" onAction="ConvertToBin"/>
        </group>
        <group id="group2" label="Chains">
          <button id="button12" label="chain Definition" imageMso="QueryShowTable" size="large" onAction="CHAIN_DEF"/>
          <button id="button13" label="Add TDR Below" imageMso="GroupDiagramStylesClassic" size="large" onAction="TDR_INSERT"/>
          <button id="button13_1" label="Add TDR Above" imageMso="GroupDiagramStylesClassic" size="large" onAction="TDR_INSERT_TOP"/>
          <button id="button14" label="Add Parent SIB" imageMso="GroupOrganizationChartStyleClassic" size="large" onAction="PARENT_INSERT"/>
          <button id="button15" label="Chain Refresh" imageMso="Refresh" size="large" onAction="chain_GroupCells"/>
          <button id="button16" label="Expand Groups" imageMso="OutlineExpandAll" size="large" onAction="Expand_All"/>
          <button id="button17" label="Collapse Groups" imageMso="CollapseAll" size="large" onAction="Collapse_All"/>
        </group>
        <group id="group3" label="TAPs">
          <button id="button8" label="TAP Definition" imageMso="QueryShowTable" size="large" onAction="TAP_DEF"/>
          <button id="button8_1" label="Insert TAP Field" imageMso="TableRowsInsertWord" size="large" onAction="TAP_FIELD_INSERT"/>
          <button id="button9" label="TAP Refresh" imageMso="Refresh" size="large" onAction="TAP_GroupCells"/>
          <button id="button10" label="Expand Groups" imageMso="OutlineExpandAll" size="large" onAction="Expand_All"/>
          <button id="button11" label="Collapse Groups" imageMso="CollapseAll" size="large" onAction="Collapse_All"/>
        </group>
        <group id="group4" label="TOP">
          <button id="button18" label="TOP Definition" imageMso="QueryShowTable" size="large" onAction="TOP_DEF"/>
          <button id="button19" label="Use Hex" imageMso="CalculationOptionsMenu" size="large" onAction="ConvertToHex_Top"/>
          <button id="button20" label="Use Dec" imageMso="CalculationOptionsMenu" size="large" onAction="ConvertToDec_Top"/>
          <button id="button21" label="Use Bin" imageMso="CalculationOptionsMenu" size="large" onAction="ConvertToBin_Top"/>
          <menu id="Menu1" label="Insert Field" imageMso="TableRowsInsertWord" size="large">
            <button id="Button23" label="TAP Instances Ports" onAction="TOP_INSERT_TAP_INST"/>
            <button id="Button24" label="IJTAG RTDR Instances Ports" onAction="TOP_INSERT_IJTAG_PORT"/>
            <button id="Button25" label="Other Control Ports" onAction="TOP_INSERT_CONTROL_PORT"/>
            <button id="Button26" label="Input Data Ports" onAction="TOP_INSERT_INPUT_PORT"/>
            <button id="Button27" label="autogenerated" onAction="TOP_INSERT_AUTO_PORT"/>
            <button id="Button28" label="Output Data Ports" onAction="TOP_INSERT_OUTPUT_PORT"/>
          </menu>
        </group>
        <group id="group5" label="Clear">
          <button id="button22" label="Clear All" imageMso="FrameDelete" size="large" onAction="Delete_refresh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range</vt:lpstr>
      <vt:lpstr>Parameters</vt:lpstr>
      <vt:lpstr>Format</vt:lpstr>
      <vt:lpstr>LookupList</vt:lpstr>
      <vt:lpstr>Registers</vt:lpstr>
      <vt:lpstr>TAPs</vt:lpstr>
      <vt:lpstr>Chains</vt:lpstr>
      <vt:lpstr>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D, Ravishankar</dc:creator>
  <cp:keywords>CTPClassification=CTP_NT</cp:keywords>
  <cp:lastModifiedBy>D, Ravishankar</cp:lastModifiedBy>
  <dcterms:created xsi:type="dcterms:W3CDTF">2020-04-15T04:15:38Z</dcterms:created>
  <dcterms:modified xsi:type="dcterms:W3CDTF">2020-06-04T18:32:30Z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301c47f1-39aa-4262-9410-408c42f44b73</vt:lpwstr>
  </property>
  <property fmtid="{D5CDD505-2E9C-101B-9397-08002B2CF9AE}" pid="3" name="CTP_TimeStamp">
    <vt:lpwstr>2020-06-04 18:32:30Z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